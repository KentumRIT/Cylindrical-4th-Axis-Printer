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Github Stuff\Cylindrical-4th-Axis-Printer\Prusa Work\Adhesion Testing\"/>
    </mc:Choice>
  </mc:AlternateContent>
  <xr:revisionPtr revIDLastSave="0" documentId="13_ncr:1_{EC3AD0FF-1E6E-4749-B3EF-B061117D06CD}" xr6:coauthVersionLast="47" xr6:coauthVersionMax="47" xr10:uidLastSave="{00000000-0000-0000-0000-000000000000}"/>
  <bookViews>
    <workbookView xWindow="57480" yWindow="-120" windowWidth="25440" windowHeight="15270" activeTab="2" xr2:uid="{9A173099-7DCB-4C1C-B974-EA2F92F54F4B}"/>
  </bookViews>
  <sheets>
    <sheet name="Initial Testing" sheetId="1" r:id="rId1"/>
    <sheet name="Starting from Printing Settings" sheetId="2" r:id="rId2"/>
    <sheet name="Variance Testing"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6" i="3" l="1"/>
  <c r="P6" i="3"/>
  <c r="Q6" i="3"/>
  <c r="R6" i="3"/>
  <c r="N6" i="3"/>
  <c r="N5" i="2" a="1"/>
  <c r="M8" i="1"/>
  <c r="N8" i="1"/>
  <c r="O8" i="1"/>
  <c r="P8" i="1"/>
  <c r="L8" i="1"/>
  <c r="J5"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<sst xmlns="http://schemas.openxmlformats.org/spreadsheetml/2006/main" count="356" uniqueCount="67">
  <si>
    <t>Run</t>
  </si>
  <si>
    <t>Tested Parameter</t>
  </si>
  <si>
    <t>Mandrel</t>
  </si>
  <si>
    <t>Result</t>
  </si>
  <si>
    <t>Notes</t>
  </si>
  <si>
    <t>Print Temperature</t>
  </si>
  <si>
    <t>Parameter Value</t>
  </si>
  <si>
    <t>Random Generator</t>
  </si>
  <si>
    <t>Temp</t>
  </si>
  <si>
    <t>Lower Bound</t>
  </si>
  <si>
    <t>Upper Bound</t>
  </si>
  <si>
    <t>Midpoint</t>
  </si>
  <si>
    <t>Parameter Midpoints (updated as bounds change)</t>
  </si>
  <si>
    <t>Speed</t>
  </si>
  <si>
    <t>Z Offset</t>
  </si>
  <si>
    <t>Ironing</t>
  </si>
  <si>
    <t>Flow Mult</t>
  </si>
  <si>
    <t>PASS</t>
  </si>
  <si>
    <t>Capping temp at 280 b/c thermal breakdown accelerates rapidly around 300 C</t>
  </si>
  <si>
    <t>Not going lower than 190 C to avoid potential jamming problems</t>
  </si>
  <si>
    <t>Was able to remove mesh from mandrel, but print was barely attached - i.e. was able to remove it without damaging mesh at all</t>
  </si>
  <si>
    <t>FAIL</t>
  </si>
  <si>
    <t>Ironing Passes</t>
  </si>
  <si>
    <t>The "worse" number for the purposes of choosing bad combinations is marked in red</t>
  </si>
  <si>
    <t xml:space="preserve"> </t>
  </si>
  <si>
    <t>Notes For Runs</t>
  </si>
  <si>
    <t>I used 1 ironing pass last run, so the 1 ironing pass tests here are comparable to the 200C tests from the previous run. With that in mind, the fact that one of them failed indicates that 200 C is too low. Thus, I will increase the temp lower bound to 210 and re-run this.</t>
  </si>
  <si>
    <t>By observation, it seems that higher temperature only improves adhesion strength. Because all runs passed, I need to keep expanding the temp range</t>
  </si>
  <si>
    <t>While the 200C runs passed, they were barely attached. I will consider 200 the lower bound for now</t>
  </si>
  <si>
    <t>Print Speed</t>
  </si>
  <si>
    <t>All runs pass, which is good here because we'd like to explore "no ironing" vs "with ironing". No ironing is noticeably the worst performing</t>
  </si>
  <si>
    <t>Higher speeds had observably worse adhesion, and all runs pass so need to increase upper bound. I will increase to 2.0 max.</t>
  </si>
  <si>
    <t>While speeds 1.8 to 2.0 succeeded, they were barely attached. I will treat 2.0 as a reasonable upper limit for now</t>
  </si>
  <si>
    <t>Print strength clearly fell with increasing Z height, making 0.48 a clear upper bound. However, I expected worse performance from lower range. I don't want to go to much below zero, as this will cause the nozzle to intentionally crash into the mandrel, but I'll explore some negative space in the next test and see how much further down I can go.</t>
  </si>
  <si>
    <t>Grating' sound as the nozzle travels across the mesh. Mandrel clearly is being pushed down by the nozzle as it travels for first few layers</t>
  </si>
  <si>
    <t>Mandrel clearly is being pushed down by the nozzle as it travels for first few layers</t>
  </si>
  <si>
    <t>Using the springy-ness of the mandrel (from all prints where the mandrel is getting pushed down during printing) will make results not applicable to mandrels of different lengths, different materials, or held in different ways. I'll keep the lower bound for z offset at 0</t>
  </si>
  <si>
    <t>Flow Multiplier</t>
  </si>
  <si>
    <t>1.6 is the lowest bound, though all prior prints were done at the midpoint (1.5), and we know from prior runs that those worked, so 1.5 as the lower bound for now</t>
  </si>
  <si>
    <t>Print only fully attached at one point</t>
  </si>
  <si>
    <t>We want to find the largest range of values for each parameter that creates adhesion good enough to test on the ADMET as part of a more rigorous study</t>
  </si>
  <si>
    <t>Goal:</t>
  </si>
  <si>
    <t>Pass condition:</t>
  </si>
  <si>
    <t>Print stays on mesh as it's taken off the mandrels</t>
  </si>
  <si>
    <t>Print is attached well enough along its entire length that I either can't rip it off the mesh with my fingers (HIGH PASS), or when I do the underlying mesh has at least 4 strands of mesh pulled out of the mesh (LOW PASS). One strand of attachment isn't enough because the nozzle stands still over the print for a moment as it changes temperatures, which often causes prints that would otherwise come off without damaging the mesh at all to pull one or two strands off the mesh in the location the nozzle paused over.</t>
  </si>
  <si>
    <t>Find reasonable range of values for each parameter that produce prints good enough for ADMET testing</t>
  </si>
  <si>
    <t>Choosing methods:</t>
  </si>
  <si>
    <t>Parameter Ranges (updated as bounds change)</t>
  </si>
  <si>
    <t>Printing Temp</t>
  </si>
  <si>
    <t>Printing Speed</t>
  </si>
  <si>
    <t>Temp, ironing, speed, and flow mult all have 'standard' values for printing. From initial testing, we see that lower temp, less ironing, higher speed, higher z offset, and lower flow mult all performed worse, but it doesn't make sense to go past the normal printing range values for each of those parameters.  I'll start with the normal printing values and sweep z offset, which was the most sensitive parameter in initial testing, using the upper bound found in initial testing. If the range of z offset values that pass is sufficient, we'll stop there, but if not we can bump one or all other parameters away from its worst value (except ironing because we'd like to compare no ironing to some ironing) until z offset has a suitably large range of values that pass.</t>
  </si>
  <si>
    <t>LOW PASS</t>
  </si>
  <si>
    <t>Increasing low bound from 0.00 to 0.10 b/c of mandrel deflection at that height. This range (0.1 - 0.2) is not acceptably large, so I'll improve other parameters for the next test</t>
  </si>
  <si>
    <t>Grating' sound as the nozzle travels across the mesh. Hard to tell if mandrel is being deflected by nozzle</t>
  </si>
  <si>
    <t>Failures in this run were parts that printed on the mesh, but pulled off without damage to the mesh, this indicates an improvement compared to the previous run, where failures were complete print failures. I'll keep improving the parameters then, seeing as it's working so far</t>
  </si>
  <si>
    <t>Increasing low bound to 0.2, given the grating sound at 0.1 and 0.18 while we didn't see a grating sound at 0.2 in the previous run</t>
  </si>
  <si>
    <t>delta of +0.2 chosen for extrusion multiplier, because initial testing showed high impact from that factor</t>
  </si>
  <si>
    <t>On edge of pass</t>
  </si>
  <si>
    <t>I still want a larger range for z offset, but I don't want to shrink the temperature range any further. I'll improve just speed and flow multiplication then to try and expand the feasible z offset range.</t>
  </si>
  <si>
    <t>N/A</t>
  </si>
  <si>
    <t>A Z range from 0.2mm to 0.3mm seems good enough here. We've seen z offset is very sensitive so 0.2, 0.25, 0.3 seem like they're well enough spaced apart to yield interesting curvature. That means this is a good final set of parameters for the others</t>
  </si>
  <si>
    <t>This run is intended to test the worst case combination we identified last run to see if any fail in a set of 6 prints. If not, this will be our final combination</t>
  </si>
  <si>
    <t>Ok, all pass so this is a good set of parameter worst bounds</t>
  </si>
  <si>
    <t>Variance tested at the midpoint of the tested parameter domain</t>
  </si>
  <si>
    <t>Find the average variance of adhesion strength to estimate the number of samples we'll need to find significant effects</t>
  </si>
  <si>
    <t>Adhesion Strength (lbs)</t>
  </si>
  <si>
    <t>Printing Temp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</si>
</sst>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FF9999"/>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applyAlignment="1">
      <alignment horizontal="left"/>
    </xf>
    <xf numFmtId="0" fontId="0" fillId="0" borderId="0" xfId="0" applyAlignment="1">
      <alignment vertical="center"/>
    </xf>
    <xf numFmtId="2" fontId="0" fillId="0" borderId="0" xfId="0" applyNumberFormat="1"/>
    <xf numFmtId="9" fontId="0" fillId="0" borderId="0" xfId="1" applyFont="1"/>
    <xf numFmtId="0" fontId="0" fillId="2" borderId="0" xfId="0" applyFill="1"/>
    <xf numFmtId="2" fontId="0" fillId="2" borderId="0" xfId="0" applyNumberFormat="1" applyFill="1"/>
    <xf numFmtId="0" fontId="0" fillId="0" borderId="0" xfId="0" quotePrefix="1"/>
    <xf numFmtId="9" fontId="0" fillId="2" borderId="0" xfId="1" applyFont="1" applyFill="1"/>
    <xf numFmtId="0" fontId="0" fillId="0" borderId="0" xfId="0" quotePrefix="1" applyAlignment="1">
      <alignment horizontal="left"/>
    </xf>
    <xf numFmtId="0" fontId="0" fillId="0" borderId="0" xfId="0" applyAlignment="1">
      <alignment horizontal="center"/>
    </xf>
    <xf numFmtId="0" fontId="0" fillId="0" borderId="0" xfId="0" applyAlignment="1">
      <alignment horizontal="left" wrapText="1"/>
    </xf>
    <xf numFmtId="0" fontId="0" fillId="0" borderId="0" xfId="0" applyFill="1"/>
    <xf numFmtId="2" fontId="0" fillId="0" borderId="0" xfId="0" applyNumberFormat="1" applyFill="1"/>
    <xf numFmtId="9" fontId="0" fillId="0" borderId="0" xfId="1" applyFont="1" applyFill="1"/>
    <xf numFmtId="0" fontId="0" fillId="3" borderId="0" xfId="0" applyFill="1"/>
    <xf numFmtId="9" fontId="0" fillId="3" borderId="0" xfId="1" applyFont="1" applyFill="1"/>
  </cellXfs>
  <cellStyles count="2">
    <cellStyle name="Normal" xfId="0" builtinId="0"/>
    <cellStyle name="Percent" xfId="1" builtinId="5"/>
  </cellStyles>
  <dxfs count="11">
    <dxf>
      <numFmt numFmtId="2" formatCode="0.00"/>
    </dxf>
    <dxf>
      <numFmt numFmtId="2" formatCode="0.00"/>
    </dxf>
    <dxf>
      <numFmt numFmtId="2" formatCode="0.0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2" formatCode="0.00"/>
    </dxf>
    <dxf>
      <numFmt numFmtId="2" formatCode="0.00"/>
    </dxf>
    <dxf>
      <numFmt numFmtId="2" formatCode="0.0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19C529-C5E7-4921-9FD7-046460CA6DC8}" name="Table2" displayName="Table2" ref="B4:H64" totalsRowShown="0">
  <autoFilter ref="B4:H64" xr:uid="{CC19C529-C5E7-4921-9FD7-046460CA6DC8}"/>
  <sortState xmlns:xlrd2="http://schemas.microsoft.com/office/spreadsheetml/2017/richdata2" ref="B59:H64">
    <sortCondition ref="D4:D64"/>
  </sortState>
  <tableColumns count="7">
    <tableColumn id="1" xr3:uid="{2F1C908E-4ED9-49F6-929F-4A8B13F107AC}" name="Run" dataDxfId="5"/>
    <tableColumn id="2" xr3:uid="{67FFC248-2D6B-4B39-BB6E-BAA76153EB88}" name="Tested Parameter" dataDxfId="4"/>
    <tableColumn id="3" xr3:uid="{948912DA-CFB9-49D0-96D6-83947780F536}" name="Mandrel"/>
    <tableColumn id="4" xr3:uid="{5D4D3EBA-DCC2-4D5D-B940-AF62B010F3DF}" name="Parameter Value"/>
    <tableColumn id="5" xr3:uid="{C47B78D1-1B22-443E-93C6-52F0B8665D5E}" name="Result"/>
    <tableColumn id="6" xr3:uid="{3D2E9ABF-1459-4FCE-81E7-5481BD338B2C}" name="Notes"/>
    <tableColumn id="7" xr3:uid="{6AD2E109-559E-4FE4-8DF4-91A603F905E0}" name="Notes For Runs"/>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247058-A42B-49F8-A7E8-9DB7FF13E159}" name="Table1" displayName="Table1" ref="B4:L34" totalsRowShown="0">
  <autoFilter ref="B4:L34" xr:uid="{49247058-A42B-49F8-A7E8-9DB7FF13E159}"/>
  <sortState xmlns:xlrd2="http://schemas.microsoft.com/office/spreadsheetml/2017/richdata2" ref="B23:L28">
    <sortCondition ref="D4:D28"/>
  </sortState>
  <tableColumns count="11">
    <tableColumn id="1" xr3:uid="{AA07CE71-CEE8-4D2E-A7A6-524809E3D8B0}" name="Run" dataDxfId="10"/>
    <tableColumn id="2" xr3:uid="{D0BF7365-2B46-4767-AA16-83B9F9B8A557}" name="Tested Parameter" dataDxfId="9"/>
    <tableColumn id="3" xr3:uid="{159046F7-ABED-44C5-853A-72ECA23396EB}" name="Mandrel"/>
    <tableColumn id="8" xr3:uid="{4873FC32-A47C-42E3-A084-6772CB58ACC9}" name="Printing Temp"/>
    <tableColumn id="9" xr3:uid="{268CB309-1E16-4D21-A057-9DF0462257FB}" name="Ironing"/>
    <tableColumn id="4" xr3:uid="{0EE2B19A-8AAC-4318-BFA9-3EC8A4B71038}" name="Printing Speed" dataDxfId="8"/>
    <tableColumn id="10" xr3:uid="{AF16D880-582E-4449-81EE-76943D9EBD15}" name="Z Offset" dataDxfId="7"/>
    <tableColumn id="11" xr3:uid="{4B653234-779B-4988-95F3-7EA19885B045}" name="Flow Multiplier" dataDxfId="6"/>
    <tableColumn id="5" xr3:uid="{A366DFA6-2635-4A9E-9FA1-E351AD74A9AD}" name="Result"/>
    <tableColumn id="6" xr3:uid="{DE7D39B6-D4B2-4DB4-9CB9-05B9B6DBF05C}" name="Notes"/>
    <tableColumn id="7" xr3:uid="{4D304149-9818-4983-82F0-6A71EBE75F2E}" name="Notes For Runs"/>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87BE5E-C0E7-4C76-9EA0-6E5342B4B4B4}" name="Table4" displayName="Table4" ref="B4:K10" totalsRowShown="0">
  <autoFilter ref="B4:K10" xr:uid="{3387BE5E-C0E7-4C76-9EA0-6E5342B4B4B4}"/>
  <tableColumns count="10">
    <tableColumn id="1" xr3:uid="{39372432-68AB-4CE7-8DB4-E531D3C92CD6}" name="Run" dataDxfId="3"/>
    <tableColumn id="3" xr3:uid="{7E4B1C11-A8F5-41EC-AFC5-F74C85CCD863}" name="Mandrel"/>
    <tableColumn id="4" xr3:uid="{F99BD4E2-9425-4DC4-9581-A56DB577EDD7}" name="Printing Temp (C)"/>
    <tableColumn id="5" xr3:uid="{0148AD17-6D8A-4B14-8C91-A8154EFDEAA2}" name="Ironing"/>
    <tableColumn id="6" xr3:uid="{7981B0E8-8726-4814-95A5-25C30372FA1D}" name="Printing Speed" dataDxfId="2"/>
    <tableColumn id="7" xr3:uid="{FE6CBE40-78C3-4E4C-8181-24F4B07B66A1}" name="Z Offset" dataDxfId="1"/>
    <tableColumn id="8" xr3:uid="{F0581E08-3028-4D27-909F-286AFE01129C}" name="Flow Multiplier" dataDxfId="0"/>
    <tableColumn id="9" xr3:uid="{22D81711-8D6A-40F4-98E9-5F4C7675DDFD}" name="Adhesion Strength (lbs)"/>
    <tableColumn id="10" xr3:uid="{D7F23CBD-5E3A-45EC-9A63-8AE7FACBC828}" name="Notes"/>
    <tableColumn id="11" xr3:uid="{87838DF6-CDCD-4BBD-98A0-92A8829FF2C8}" name="Notes For Runs"/>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EC059-D211-45A1-9813-F177306B7528}">
  <dimension ref="A1:Q64"/>
  <sheetViews>
    <sheetView topLeftCell="A10" workbookViewId="0">
      <selection activeCell="G50" sqref="G50"/>
    </sheetView>
  </sheetViews>
  <sheetFormatPr defaultRowHeight="14.4" x14ac:dyDescent="0.55000000000000004"/>
  <cols>
    <col min="1" max="1" width="12.9453125" bestFit="1" customWidth="1"/>
    <col min="2" max="2" width="6.3671875" customWidth="1"/>
    <col min="3" max="3" width="17.83984375" bestFit="1" customWidth="1"/>
    <col min="4" max="4" width="9.7890625" customWidth="1"/>
    <col min="5" max="5" width="16.7890625" bestFit="1" customWidth="1"/>
    <col min="6" max="6" width="8.47265625" customWidth="1"/>
    <col min="7" max="7" width="8.3125" customWidth="1"/>
    <col min="8" max="8" width="15.62890625" customWidth="1"/>
    <col min="10" max="10" width="15.5234375" bestFit="1" customWidth="1"/>
    <col min="11" max="11" width="10.83984375" bestFit="1" customWidth="1"/>
  </cols>
  <sheetData>
    <row r="1" spans="1:17" x14ac:dyDescent="0.55000000000000004">
      <c r="A1" t="s">
        <v>41</v>
      </c>
      <c r="B1" t="s">
        <v>40</v>
      </c>
    </row>
    <row r="2" spans="1:17" x14ac:dyDescent="0.55000000000000004">
      <c r="A2" t="s">
        <v>42</v>
      </c>
      <c r="B2" t="s">
        <v>43</v>
      </c>
    </row>
    <row r="4" spans="1:17" x14ac:dyDescent="0.55000000000000004">
      <c r="B4" t="s">
        <v>0</v>
      </c>
      <c r="C4" t="s">
        <v>1</v>
      </c>
      <c r="D4" t="s">
        <v>2</v>
      </c>
      <c r="E4" t="s">
        <v>6</v>
      </c>
      <c r="F4" t="s">
        <v>3</v>
      </c>
      <c r="G4" t="s">
        <v>4</v>
      </c>
      <c r="H4" t="s">
        <v>25</v>
      </c>
      <c r="J4" t="s">
        <v>7</v>
      </c>
      <c r="L4" s="10" t="s">
        <v>12</v>
      </c>
      <c r="M4" s="10"/>
      <c r="N4" s="10"/>
      <c r="O4" s="10"/>
      <c r="P4" s="10"/>
      <c r="Q4" t="s">
        <v>23</v>
      </c>
    </row>
    <row r="5" spans="1:17" x14ac:dyDescent="0.55000000000000004">
      <c r="B5" s="2">
        <v>1</v>
      </c>
      <c r="C5" s="2" t="s">
        <v>5</v>
      </c>
      <c r="D5">
        <v>1</v>
      </c>
      <c r="E5">
        <v>280</v>
      </c>
      <c r="F5" t="s">
        <v>17</v>
      </c>
      <c r="G5" t="s">
        <v>18</v>
      </c>
      <c r="H5" t="s">
        <v>27</v>
      </c>
      <c r="J5" s="1" cm="1">
        <f t="array" aca="1" ref="J5:J10" ca="1">_xlfn.SORTBY(_xlfn.SEQUENCE(6),_xlfn.RANDARRAY(6))</f>
        <v>1</v>
      </c>
      <c r="L5" t="s">
        <v>8</v>
      </c>
      <c r="M5" t="s">
        <v>15</v>
      </c>
      <c r="N5" t="s">
        <v>13</v>
      </c>
      <c r="O5" t="s">
        <v>14</v>
      </c>
      <c r="P5" t="s">
        <v>16</v>
      </c>
    </row>
    <row r="6" spans="1:17" x14ac:dyDescent="0.55000000000000004">
      <c r="B6" s="2">
        <v>1</v>
      </c>
      <c r="C6" s="2" t="s">
        <v>5</v>
      </c>
      <c r="D6">
        <v>2</v>
      </c>
      <c r="E6">
        <v>256</v>
      </c>
      <c r="F6" t="s">
        <v>17</v>
      </c>
      <c r="H6" t="s">
        <v>24</v>
      </c>
      <c r="J6" s="1">
        <f ca="1"/>
        <v>4</v>
      </c>
      <c r="K6" t="s">
        <v>9</v>
      </c>
      <c r="L6" s="5">
        <v>210</v>
      </c>
      <c r="M6" s="5">
        <v>0</v>
      </c>
      <c r="N6" s="3">
        <v>0.2</v>
      </c>
      <c r="O6" s="3">
        <v>0</v>
      </c>
      <c r="P6" s="8">
        <v>1.5</v>
      </c>
    </row>
    <row r="7" spans="1:17" x14ac:dyDescent="0.55000000000000004">
      <c r="B7" s="2">
        <v>1</v>
      </c>
      <c r="C7" s="2" t="s">
        <v>5</v>
      </c>
      <c r="D7">
        <v>3</v>
      </c>
      <c r="E7">
        <v>232</v>
      </c>
      <c r="F7" t="s">
        <v>17</v>
      </c>
      <c r="H7" t="s">
        <v>24</v>
      </c>
      <c r="J7" s="1">
        <f ca="1"/>
        <v>5</v>
      </c>
      <c r="K7" t="s">
        <v>10</v>
      </c>
      <c r="L7">
        <v>280</v>
      </c>
      <c r="M7">
        <v>3</v>
      </c>
      <c r="N7" s="6">
        <v>2</v>
      </c>
      <c r="O7" s="6">
        <v>0.48</v>
      </c>
      <c r="P7" s="4">
        <v>2</v>
      </c>
    </row>
    <row r="8" spans="1:17" x14ac:dyDescent="0.55000000000000004">
      <c r="B8" s="2">
        <v>1</v>
      </c>
      <c r="C8" s="2" t="s">
        <v>5</v>
      </c>
      <c r="D8">
        <v>4</v>
      </c>
      <c r="E8">
        <v>244</v>
      </c>
      <c r="F8" t="s">
        <v>17</v>
      </c>
      <c r="H8" t="s">
        <v>24</v>
      </c>
      <c r="J8" s="1">
        <f ca="1"/>
        <v>2</v>
      </c>
      <c r="K8" t="s">
        <v>11</v>
      </c>
      <c r="L8">
        <f>AVERAGE(L6:L7)</f>
        <v>245</v>
      </c>
      <c r="M8">
        <f t="shared" ref="M8:P8" si="0">AVERAGE(M6:M7)</f>
        <v>1.5</v>
      </c>
      <c r="N8">
        <f t="shared" si="0"/>
        <v>1.1000000000000001</v>
      </c>
      <c r="O8">
        <f t="shared" si="0"/>
        <v>0.24</v>
      </c>
      <c r="P8">
        <f t="shared" si="0"/>
        <v>1.75</v>
      </c>
    </row>
    <row r="9" spans="1:17" x14ac:dyDescent="0.55000000000000004">
      <c r="B9" s="2">
        <v>1</v>
      </c>
      <c r="C9" s="2" t="s">
        <v>5</v>
      </c>
      <c r="D9">
        <v>5</v>
      </c>
      <c r="E9">
        <v>268</v>
      </c>
      <c r="F9" t="s">
        <v>17</v>
      </c>
      <c r="H9" t="s">
        <v>24</v>
      </c>
      <c r="I9" t="s">
        <v>24</v>
      </c>
      <c r="J9" s="1">
        <f ca="1"/>
        <v>3</v>
      </c>
    </row>
    <row r="10" spans="1:17" x14ac:dyDescent="0.55000000000000004">
      <c r="B10" s="2">
        <v>1</v>
      </c>
      <c r="C10" s="2" t="s">
        <v>5</v>
      </c>
      <c r="D10">
        <v>6</v>
      </c>
      <c r="E10">
        <v>220</v>
      </c>
      <c r="F10" t="s">
        <v>17</v>
      </c>
      <c r="H10" t="s">
        <v>24</v>
      </c>
      <c r="J10" s="1">
        <f ca="1"/>
        <v>6</v>
      </c>
    </row>
    <row r="11" spans="1:17" x14ac:dyDescent="0.55000000000000004">
      <c r="B11" s="2">
        <v>2</v>
      </c>
      <c r="C11" s="2" t="s">
        <v>5</v>
      </c>
      <c r="D11">
        <v>1</v>
      </c>
      <c r="E11">
        <v>200</v>
      </c>
      <c r="F11" t="s">
        <v>17</v>
      </c>
      <c r="G11" t="s">
        <v>20</v>
      </c>
      <c r="H11" t="s">
        <v>28</v>
      </c>
    </row>
    <row r="12" spans="1:17" x14ac:dyDescent="0.55000000000000004">
      <c r="B12" s="2">
        <v>2</v>
      </c>
      <c r="C12" s="2" t="s">
        <v>5</v>
      </c>
      <c r="D12">
        <v>2</v>
      </c>
      <c r="E12">
        <v>210</v>
      </c>
      <c r="F12" t="s">
        <v>17</v>
      </c>
      <c r="G12" t="s">
        <v>20</v>
      </c>
      <c r="H12" t="s">
        <v>24</v>
      </c>
    </row>
    <row r="13" spans="1:17" x14ac:dyDescent="0.55000000000000004">
      <c r="B13" s="2">
        <v>2</v>
      </c>
      <c r="C13" s="2" t="s">
        <v>5</v>
      </c>
      <c r="D13">
        <v>3</v>
      </c>
      <c r="E13">
        <v>210</v>
      </c>
      <c r="F13" t="s">
        <v>17</v>
      </c>
      <c r="G13" t="s">
        <v>20</v>
      </c>
      <c r="H13" t="s">
        <v>24</v>
      </c>
    </row>
    <row r="14" spans="1:17" x14ac:dyDescent="0.55000000000000004">
      <c r="B14" s="2">
        <v>2</v>
      </c>
      <c r="C14" s="2" t="s">
        <v>5</v>
      </c>
      <c r="D14">
        <v>4</v>
      </c>
      <c r="E14">
        <v>190</v>
      </c>
      <c r="F14" t="s">
        <v>21</v>
      </c>
      <c r="G14" t="s">
        <v>19</v>
      </c>
      <c r="H14" t="s">
        <v>24</v>
      </c>
    </row>
    <row r="15" spans="1:17" x14ac:dyDescent="0.55000000000000004">
      <c r="B15" s="2">
        <v>2</v>
      </c>
      <c r="C15" s="2" t="s">
        <v>5</v>
      </c>
      <c r="D15">
        <v>5</v>
      </c>
      <c r="E15">
        <v>190</v>
      </c>
      <c r="F15" t="s">
        <v>21</v>
      </c>
      <c r="G15" t="s">
        <v>19</v>
      </c>
      <c r="H15" t="s">
        <v>24</v>
      </c>
    </row>
    <row r="16" spans="1:17" x14ac:dyDescent="0.55000000000000004">
      <c r="B16" s="2">
        <v>2</v>
      </c>
      <c r="C16" s="2" t="s">
        <v>5</v>
      </c>
      <c r="D16">
        <v>6</v>
      </c>
      <c r="E16">
        <v>200</v>
      </c>
      <c r="F16" t="s">
        <v>17</v>
      </c>
      <c r="H16" t="s">
        <v>24</v>
      </c>
    </row>
    <row r="17" spans="2:8" x14ac:dyDescent="0.55000000000000004">
      <c r="B17" s="2">
        <v>3</v>
      </c>
      <c r="C17" s="2" t="s">
        <v>22</v>
      </c>
      <c r="D17">
        <v>1</v>
      </c>
      <c r="E17">
        <v>0</v>
      </c>
      <c r="F17" t="s">
        <v>21</v>
      </c>
      <c r="H17" t="s">
        <v>26</v>
      </c>
    </row>
    <row r="18" spans="2:8" x14ac:dyDescent="0.55000000000000004">
      <c r="B18" s="2">
        <v>3</v>
      </c>
      <c r="C18" s="2" t="s">
        <v>22</v>
      </c>
      <c r="D18">
        <v>2</v>
      </c>
      <c r="E18">
        <v>2</v>
      </c>
      <c r="F18" t="s">
        <v>17</v>
      </c>
      <c r="G18" t="s">
        <v>20</v>
      </c>
      <c r="H18" t="s">
        <v>24</v>
      </c>
    </row>
    <row r="19" spans="2:8" x14ac:dyDescent="0.55000000000000004">
      <c r="B19" s="2">
        <v>3</v>
      </c>
      <c r="C19" s="2" t="s">
        <v>22</v>
      </c>
      <c r="D19">
        <v>3</v>
      </c>
      <c r="E19">
        <v>0</v>
      </c>
      <c r="F19" t="s">
        <v>21</v>
      </c>
      <c r="H19" t="s">
        <v>24</v>
      </c>
    </row>
    <row r="20" spans="2:8" x14ac:dyDescent="0.55000000000000004">
      <c r="B20" s="2">
        <v>3</v>
      </c>
      <c r="C20" s="2" t="s">
        <v>22</v>
      </c>
      <c r="D20">
        <v>4</v>
      </c>
      <c r="E20">
        <v>1</v>
      </c>
      <c r="F20" t="s">
        <v>17</v>
      </c>
      <c r="G20" t="s">
        <v>20</v>
      </c>
      <c r="H20" t="s">
        <v>24</v>
      </c>
    </row>
    <row r="21" spans="2:8" x14ac:dyDescent="0.55000000000000004">
      <c r="B21" s="2">
        <v>3</v>
      </c>
      <c r="C21" s="2" t="s">
        <v>22</v>
      </c>
      <c r="D21">
        <v>5</v>
      </c>
      <c r="E21">
        <v>1</v>
      </c>
      <c r="F21" t="s">
        <v>21</v>
      </c>
      <c r="H21" t="s">
        <v>24</v>
      </c>
    </row>
    <row r="22" spans="2:8" x14ac:dyDescent="0.55000000000000004">
      <c r="B22" s="2">
        <v>3</v>
      </c>
      <c r="C22" s="2" t="s">
        <v>22</v>
      </c>
      <c r="D22">
        <v>6</v>
      </c>
      <c r="E22">
        <v>3</v>
      </c>
      <c r="F22" t="s">
        <v>17</v>
      </c>
      <c r="G22" t="s">
        <v>20</v>
      </c>
      <c r="H22" t="s">
        <v>24</v>
      </c>
    </row>
    <row r="23" spans="2:8" x14ac:dyDescent="0.55000000000000004">
      <c r="B23" s="2">
        <v>4</v>
      </c>
      <c r="C23" s="2" t="s">
        <v>22</v>
      </c>
      <c r="D23">
        <v>1</v>
      </c>
      <c r="E23">
        <v>2</v>
      </c>
      <c r="F23" t="s">
        <v>17</v>
      </c>
      <c r="H23" t="s">
        <v>30</v>
      </c>
    </row>
    <row r="24" spans="2:8" x14ac:dyDescent="0.55000000000000004">
      <c r="B24" s="2">
        <v>4</v>
      </c>
      <c r="C24" s="2" t="s">
        <v>22</v>
      </c>
      <c r="D24">
        <v>2</v>
      </c>
      <c r="E24">
        <v>0</v>
      </c>
      <c r="F24" t="s">
        <v>17</v>
      </c>
      <c r="H24" t="s">
        <v>24</v>
      </c>
    </row>
    <row r="25" spans="2:8" x14ac:dyDescent="0.55000000000000004">
      <c r="B25" s="2">
        <v>4</v>
      </c>
      <c r="C25" s="2" t="s">
        <v>22</v>
      </c>
      <c r="D25">
        <v>3</v>
      </c>
      <c r="E25">
        <v>3</v>
      </c>
      <c r="F25" t="s">
        <v>17</v>
      </c>
      <c r="H25" t="s">
        <v>24</v>
      </c>
    </row>
    <row r="26" spans="2:8" x14ac:dyDescent="0.55000000000000004">
      <c r="B26" s="2">
        <v>4</v>
      </c>
      <c r="C26" s="2" t="s">
        <v>22</v>
      </c>
      <c r="D26">
        <v>4</v>
      </c>
      <c r="E26">
        <v>1</v>
      </c>
      <c r="F26" t="s">
        <v>17</v>
      </c>
      <c r="H26" t="s">
        <v>24</v>
      </c>
    </row>
    <row r="27" spans="2:8" x14ac:dyDescent="0.55000000000000004">
      <c r="B27" s="2">
        <v>4</v>
      </c>
      <c r="C27" s="2" t="s">
        <v>22</v>
      </c>
      <c r="D27">
        <v>5</v>
      </c>
      <c r="E27">
        <v>1</v>
      </c>
      <c r="F27" t="s">
        <v>17</v>
      </c>
      <c r="H27" t="s">
        <v>24</v>
      </c>
    </row>
    <row r="28" spans="2:8" x14ac:dyDescent="0.55000000000000004">
      <c r="B28" s="2">
        <v>4</v>
      </c>
      <c r="C28" s="2" t="s">
        <v>22</v>
      </c>
      <c r="D28">
        <v>6</v>
      </c>
      <c r="E28">
        <v>0</v>
      </c>
      <c r="F28" t="s">
        <v>17</v>
      </c>
      <c r="G28" t="s">
        <v>20</v>
      </c>
      <c r="H28" t="s">
        <v>24</v>
      </c>
    </row>
    <row r="29" spans="2:8" x14ac:dyDescent="0.55000000000000004">
      <c r="B29" s="2">
        <v>5</v>
      </c>
      <c r="C29" s="2" t="s">
        <v>29</v>
      </c>
      <c r="D29">
        <v>1</v>
      </c>
      <c r="E29">
        <v>0.46</v>
      </c>
      <c r="F29" t="s">
        <v>17</v>
      </c>
      <c r="H29" t="s">
        <v>31</v>
      </c>
    </row>
    <row r="30" spans="2:8" x14ac:dyDescent="0.55000000000000004">
      <c r="B30" s="2">
        <v>5</v>
      </c>
      <c r="C30" s="2" t="s">
        <v>29</v>
      </c>
      <c r="D30">
        <v>2</v>
      </c>
      <c r="E30">
        <v>0.2</v>
      </c>
      <c r="F30" t="s">
        <v>17</v>
      </c>
    </row>
    <row r="31" spans="2:8" x14ac:dyDescent="0.55000000000000004">
      <c r="B31" s="2">
        <v>5</v>
      </c>
      <c r="C31" s="2" t="s">
        <v>29</v>
      </c>
      <c r="D31">
        <v>3</v>
      </c>
      <c r="E31">
        <v>1.24</v>
      </c>
      <c r="F31" t="s">
        <v>17</v>
      </c>
    </row>
    <row r="32" spans="2:8" x14ac:dyDescent="0.55000000000000004">
      <c r="B32" s="2">
        <v>5</v>
      </c>
      <c r="C32" s="2" t="s">
        <v>29</v>
      </c>
      <c r="D32">
        <v>4</v>
      </c>
      <c r="E32">
        <v>0.72</v>
      </c>
      <c r="F32" t="s">
        <v>17</v>
      </c>
    </row>
    <row r="33" spans="2:12" x14ac:dyDescent="0.55000000000000004">
      <c r="B33" s="2">
        <v>5</v>
      </c>
      <c r="C33" s="2" t="s">
        <v>29</v>
      </c>
      <c r="D33">
        <v>5</v>
      </c>
      <c r="E33">
        <v>1.5</v>
      </c>
      <c r="F33" t="s">
        <v>17</v>
      </c>
    </row>
    <row r="34" spans="2:12" x14ac:dyDescent="0.55000000000000004">
      <c r="B34" s="2">
        <v>5</v>
      </c>
      <c r="C34" s="2" t="s">
        <v>29</v>
      </c>
      <c r="D34">
        <v>6</v>
      </c>
      <c r="E34">
        <v>0.98</v>
      </c>
      <c r="F34" t="s">
        <v>17</v>
      </c>
    </row>
    <row r="35" spans="2:12" x14ac:dyDescent="0.55000000000000004">
      <c r="B35" s="2">
        <v>6</v>
      </c>
      <c r="C35" s="2" t="s">
        <v>29</v>
      </c>
      <c r="D35">
        <v>1</v>
      </c>
      <c r="E35">
        <v>1.6</v>
      </c>
      <c r="F35" t="s">
        <v>17</v>
      </c>
      <c r="H35" t="s">
        <v>32</v>
      </c>
    </row>
    <row r="36" spans="2:12" x14ac:dyDescent="0.55000000000000004">
      <c r="B36" s="2">
        <v>6</v>
      </c>
      <c r="C36" s="2" t="s">
        <v>29</v>
      </c>
      <c r="D36">
        <v>2</v>
      </c>
      <c r="E36">
        <v>1.7</v>
      </c>
      <c r="F36" t="s">
        <v>17</v>
      </c>
      <c r="H36" t="s">
        <v>24</v>
      </c>
    </row>
    <row r="37" spans="2:12" x14ac:dyDescent="0.55000000000000004">
      <c r="B37" s="2">
        <v>6</v>
      </c>
      <c r="C37" s="2" t="s">
        <v>29</v>
      </c>
      <c r="D37">
        <v>3</v>
      </c>
      <c r="E37">
        <v>1.9</v>
      </c>
      <c r="F37" t="s">
        <v>17</v>
      </c>
      <c r="G37" t="s">
        <v>20</v>
      </c>
      <c r="H37" t="s">
        <v>24</v>
      </c>
    </row>
    <row r="38" spans="2:12" x14ac:dyDescent="0.55000000000000004">
      <c r="B38" s="2">
        <v>6</v>
      </c>
      <c r="C38" s="2" t="s">
        <v>29</v>
      </c>
      <c r="D38">
        <v>4</v>
      </c>
      <c r="E38">
        <v>2</v>
      </c>
      <c r="F38" t="s">
        <v>17</v>
      </c>
      <c r="G38" t="s">
        <v>20</v>
      </c>
      <c r="H38" t="s">
        <v>24</v>
      </c>
    </row>
    <row r="39" spans="2:12" x14ac:dyDescent="0.55000000000000004">
      <c r="B39" s="2">
        <v>6</v>
      </c>
      <c r="C39" s="2" t="s">
        <v>29</v>
      </c>
      <c r="D39">
        <v>5</v>
      </c>
      <c r="E39">
        <v>1.8</v>
      </c>
      <c r="F39" t="s">
        <v>17</v>
      </c>
      <c r="G39" t="s">
        <v>20</v>
      </c>
      <c r="H39" t="s">
        <v>24</v>
      </c>
    </row>
    <row r="40" spans="2:12" x14ac:dyDescent="0.55000000000000004">
      <c r="B40" s="2">
        <v>6</v>
      </c>
      <c r="C40" s="2" t="s">
        <v>29</v>
      </c>
      <c r="D40">
        <v>6</v>
      </c>
      <c r="E40">
        <v>1.5</v>
      </c>
      <c r="F40" t="s">
        <v>17</v>
      </c>
      <c r="H40" t="s">
        <v>24</v>
      </c>
    </row>
    <row r="41" spans="2:12" x14ac:dyDescent="0.55000000000000004">
      <c r="B41" s="2">
        <v>7</v>
      </c>
      <c r="C41" s="2" t="s">
        <v>14</v>
      </c>
      <c r="D41">
        <v>1</v>
      </c>
      <c r="E41">
        <v>0.64</v>
      </c>
      <c r="F41" t="s">
        <v>21</v>
      </c>
      <c r="H41" t="s">
        <v>33</v>
      </c>
    </row>
    <row r="42" spans="2:12" x14ac:dyDescent="0.55000000000000004">
      <c r="B42" s="2">
        <v>7</v>
      </c>
      <c r="C42" s="2" t="s">
        <v>14</v>
      </c>
      <c r="D42">
        <v>2</v>
      </c>
      <c r="E42">
        <v>0</v>
      </c>
      <c r="F42" t="s">
        <v>17</v>
      </c>
      <c r="H42" t="s">
        <v>24</v>
      </c>
      <c r="L42" t="s">
        <v>24</v>
      </c>
    </row>
    <row r="43" spans="2:12" x14ac:dyDescent="0.55000000000000004">
      <c r="B43" s="2">
        <v>7</v>
      </c>
      <c r="C43" s="2" t="s">
        <v>14</v>
      </c>
      <c r="D43">
        <v>3</v>
      </c>
      <c r="E43">
        <v>0.32</v>
      </c>
      <c r="F43" t="s">
        <v>17</v>
      </c>
      <c r="H43" t="s">
        <v>24</v>
      </c>
    </row>
    <row r="44" spans="2:12" x14ac:dyDescent="0.55000000000000004">
      <c r="B44" s="2">
        <v>7</v>
      </c>
      <c r="C44" s="2" t="s">
        <v>14</v>
      </c>
      <c r="D44">
        <v>4</v>
      </c>
      <c r="E44">
        <v>0.48</v>
      </c>
      <c r="F44" t="s">
        <v>17</v>
      </c>
      <c r="G44" t="s">
        <v>20</v>
      </c>
      <c r="H44" t="s">
        <v>24</v>
      </c>
    </row>
    <row r="45" spans="2:12" x14ac:dyDescent="0.55000000000000004">
      <c r="B45" s="2">
        <v>7</v>
      </c>
      <c r="C45" s="2" t="s">
        <v>14</v>
      </c>
      <c r="D45">
        <v>5</v>
      </c>
      <c r="E45">
        <v>0.16</v>
      </c>
      <c r="F45" t="s">
        <v>17</v>
      </c>
      <c r="H45" t="s">
        <v>24</v>
      </c>
    </row>
    <row r="46" spans="2:12" x14ac:dyDescent="0.55000000000000004">
      <c r="B46" s="2">
        <v>7</v>
      </c>
      <c r="C46" s="2" t="s">
        <v>14</v>
      </c>
      <c r="D46">
        <v>6</v>
      </c>
      <c r="E46">
        <v>0.8</v>
      </c>
      <c r="F46" t="s">
        <v>21</v>
      </c>
      <c r="H46" t="s">
        <v>24</v>
      </c>
    </row>
    <row r="47" spans="2:12" x14ac:dyDescent="0.55000000000000004">
      <c r="B47" s="2">
        <v>8</v>
      </c>
      <c r="C47" s="2" t="s">
        <v>14</v>
      </c>
      <c r="D47">
        <v>1</v>
      </c>
      <c r="E47">
        <v>0</v>
      </c>
      <c r="F47" t="s">
        <v>17</v>
      </c>
      <c r="H47" t="s">
        <v>36</v>
      </c>
    </row>
    <row r="48" spans="2:12" x14ac:dyDescent="0.55000000000000004">
      <c r="B48" s="2">
        <v>8</v>
      </c>
      <c r="C48" s="2" t="s">
        <v>14</v>
      </c>
      <c r="D48">
        <v>2</v>
      </c>
      <c r="E48">
        <v>-0.06</v>
      </c>
      <c r="F48" t="s">
        <v>17</v>
      </c>
      <c r="G48" t="s">
        <v>35</v>
      </c>
      <c r="H48" t="s">
        <v>24</v>
      </c>
    </row>
    <row r="49" spans="2:8" x14ac:dyDescent="0.55000000000000004">
      <c r="B49" s="2">
        <v>8</v>
      </c>
      <c r="C49" s="2" t="s">
        <v>14</v>
      </c>
      <c r="D49">
        <v>3</v>
      </c>
      <c r="E49">
        <v>-0.24</v>
      </c>
      <c r="F49" t="s">
        <v>17</v>
      </c>
      <c r="G49" s="7" t="s">
        <v>34</v>
      </c>
      <c r="H49" t="s">
        <v>24</v>
      </c>
    </row>
    <row r="50" spans="2:8" x14ac:dyDescent="0.55000000000000004">
      <c r="B50" s="2">
        <v>8</v>
      </c>
      <c r="C50" s="2" t="s">
        <v>14</v>
      </c>
      <c r="D50">
        <v>4</v>
      </c>
      <c r="E50">
        <v>-0.3</v>
      </c>
      <c r="F50" t="s">
        <v>17</v>
      </c>
      <c r="G50" s="7" t="s">
        <v>34</v>
      </c>
      <c r="H50" t="s">
        <v>24</v>
      </c>
    </row>
    <row r="51" spans="2:8" x14ac:dyDescent="0.55000000000000004">
      <c r="B51" s="2">
        <v>8</v>
      </c>
      <c r="C51" s="2" t="s">
        <v>14</v>
      </c>
      <c r="D51">
        <v>5</v>
      </c>
      <c r="E51">
        <v>-0.12</v>
      </c>
      <c r="F51" t="s">
        <v>17</v>
      </c>
      <c r="G51" s="7" t="s">
        <v>34</v>
      </c>
      <c r="H51" t="s">
        <v>24</v>
      </c>
    </row>
    <row r="52" spans="2:8" x14ac:dyDescent="0.55000000000000004">
      <c r="B52" s="2">
        <v>8</v>
      </c>
      <c r="C52" s="2" t="s">
        <v>14</v>
      </c>
      <c r="D52">
        <v>6</v>
      </c>
      <c r="E52">
        <v>-0.18</v>
      </c>
      <c r="F52" t="s">
        <v>17</v>
      </c>
      <c r="G52" s="7" t="s">
        <v>34</v>
      </c>
      <c r="H52" t="s">
        <v>24</v>
      </c>
    </row>
    <row r="53" spans="2:8" x14ac:dyDescent="0.55000000000000004">
      <c r="B53" s="2">
        <v>9</v>
      </c>
      <c r="C53" s="2" t="s">
        <v>37</v>
      </c>
      <c r="D53">
        <v>1</v>
      </c>
      <c r="E53">
        <v>1.2</v>
      </c>
      <c r="F53" t="s">
        <v>21</v>
      </c>
      <c r="H53" t="s">
        <v>38</v>
      </c>
    </row>
    <row r="54" spans="2:8" x14ac:dyDescent="0.55000000000000004">
      <c r="B54" s="2">
        <v>9</v>
      </c>
      <c r="C54" s="2" t="s">
        <v>37</v>
      </c>
      <c r="D54">
        <v>2</v>
      </c>
      <c r="E54">
        <v>1.8</v>
      </c>
      <c r="F54" t="s">
        <v>17</v>
      </c>
    </row>
    <row r="55" spans="2:8" x14ac:dyDescent="0.55000000000000004">
      <c r="B55" s="2">
        <v>9</v>
      </c>
      <c r="C55" s="2" t="s">
        <v>37</v>
      </c>
      <c r="D55">
        <v>3</v>
      </c>
      <c r="E55">
        <v>2</v>
      </c>
      <c r="F55" t="s">
        <v>17</v>
      </c>
      <c r="G55" t="s">
        <v>20</v>
      </c>
      <c r="H55" t="s">
        <v>24</v>
      </c>
    </row>
    <row r="56" spans="2:8" x14ac:dyDescent="0.55000000000000004">
      <c r="B56" s="2">
        <v>9</v>
      </c>
      <c r="C56" s="2" t="s">
        <v>37</v>
      </c>
      <c r="D56">
        <v>4</v>
      </c>
      <c r="E56">
        <v>1</v>
      </c>
      <c r="F56" t="s">
        <v>21</v>
      </c>
      <c r="H56" t="s">
        <v>24</v>
      </c>
    </row>
    <row r="57" spans="2:8" x14ac:dyDescent="0.55000000000000004">
      <c r="B57" s="2">
        <v>9</v>
      </c>
      <c r="C57" s="2" t="s">
        <v>37</v>
      </c>
      <c r="D57">
        <v>5</v>
      </c>
      <c r="E57">
        <v>1.4</v>
      </c>
      <c r="F57" t="s">
        <v>21</v>
      </c>
      <c r="H57" t="s">
        <v>24</v>
      </c>
    </row>
    <row r="58" spans="2:8" x14ac:dyDescent="0.55000000000000004">
      <c r="B58" s="2">
        <v>9</v>
      </c>
      <c r="C58" s="2" t="s">
        <v>37</v>
      </c>
      <c r="D58">
        <v>6</v>
      </c>
      <c r="E58">
        <v>1.6</v>
      </c>
      <c r="F58" t="s">
        <v>17</v>
      </c>
      <c r="H58" t="s">
        <v>24</v>
      </c>
    </row>
    <row r="59" spans="2:8" x14ac:dyDescent="0.55000000000000004">
      <c r="B59" s="2">
        <v>10</v>
      </c>
      <c r="C59" s="2" t="s">
        <v>5</v>
      </c>
      <c r="D59">
        <v>1</v>
      </c>
      <c r="E59">
        <v>252</v>
      </c>
      <c r="F59" t="s">
        <v>17</v>
      </c>
      <c r="G59" t="s">
        <v>39</v>
      </c>
      <c r="H59" t="s">
        <v>24</v>
      </c>
    </row>
    <row r="60" spans="2:8" x14ac:dyDescent="0.55000000000000004">
      <c r="B60" s="2">
        <v>10</v>
      </c>
      <c r="C60" s="2" t="s">
        <v>5</v>
      </c>
      <c r="D60">
        <v>2</v>
      </c>
      <c r="E60">
        <v>280</v>
      </c>
      <c r="F60" t="s">
        <v>17</v>
      </c>
      <c r="G60" t="s">
        <v>20</v>
      </c>
      <c r="H60" t="s">
        <v>24</v>
      </c>
    </row>
    <row r="61" spans="2:8" x14ac:dyDescent="0.55000000000000004">
      <c r="B61" s="2">
        <v>10</v>
      </c>
      <c r="C61" s="2" t="s">
        <v>5</v>
      </c>
      <c r="D61">
        <v>3</v>
      </c>
      <c r="E61">
        <v>238</v>
      </c>
      <c r="F61" t="s">
        <v>17</v>
      </c>
      <c r="G61" t="s">
        <v>39</v>
      </c>
      <c r="H61" t="s">
        <v>24</v>
      </c>
    </row>
    <row r="62" spans="2:8" x14ac:dyDescent="0.55000000000000004">
      <c r="B62" s="2">
        <v>10</v>
      </c>
      <c r="C62" s="2" t="s">
        <v>5</v>
      </c>
      <c r="D62">
        <v>4</v>
      </c>
      <c r="E62">
        <v>266</v>
      </c>
      <c r="F62" t="s">
        <v>17</v>
      </c>
      <c r="G62" t="s">
        <v>39</v>
      </c>
      <c r="H62" t="s">
        <v>24</v>
      </c>
    </row>
    <row r="63" spans="2:8" x14ac:dyDescent="0.55000000000000004">
      <c r="B63" s="2">
        <v>10</v>
      </c>
      <c r="C63" s="2" t="s">
        <v>5</v>
      </c>
      <c r="D63">
        <v>5</v>
      </c>
      <c r="E63">
        <v>210</v>
      </c>
      <c r="F63" t="s">
        <v>21</v>
      </c>
      <c r="H63" t="s">
        <v>24</v>
      </c>
    </row>
    <row r="64" spans="2:8" x14ac:dyDescent="0.55000000000000004">
      <c r="B64" s="2">
        <v>10</v>
      </c>
      <c r="C64" s="2" t="s">
        <v>5</v>
      </c>
      <c r="D64">
        <v>6</v>
      </c>
      <c r="E64">
        <v>224</v>
      </c>
      <c r="F64" t="s">
        <v>17</v>
      </c>
      <c r="G64" t="s">
        <v>39</v>
      </c>
      <c r="H64" t="s">
        <v>24</v>
      </c>
    </row>
  </sheetData>
  <mergeCells count="1">
    <mergeCell ref="L4:P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9AFE7-CDD6-4F0E-8590-A80B1C2DCF1B}">
  <dimension ref="A1:U34"/>
  <sheetViews>
    <sheetView zoomScale="115" zoomScaleNormal="115" workbookViewId="0">
      <selection activeCell="N4" sqref="N4:N5"/>
    </sheetView>
  </sheetViews>
  <sheetFormatPr defaultRowHeight="14.4" x14ac:dyDescent="0.55000000000000004"/>
  <cols>
    <col min="1" max="1" width="15.89453125" bestFit="1" customWidth="1"/>
    <col min="2" max="2" width="6" bestFit="1" customWidth="1"/>
    <col min="3" max="3" width="17.20703125" bestFit="1" customWidth="1"/>
    <col min="4" max="4" width="9.47265625" bestFit="1" customWidth="1"/>
    <col min="5" max="5" width="13.9453125" bestFit="1" customWidth="1"/>
    <col min="6" max="6" width="8.41796875" bestFit="1" customWidth="1"/>
    <col min="7" max="7" width="14.578125" style="3" bestFit="1" customWidth="1"/>
    <col min="8" max="8" width="9.15625" style="3" bestFit="1" customWidth="1"/>
    <col min="9" max="9" width="14.7890625" style="3" bestFit="1" customWidth="1"/>
    <col min="10" max="10" width="9.26171875" bestFit="1" customWidth="1"/>
    <col min="11" max="11" width="7.68359375" bestFit="1" customWidth="1"/>
    <col min="12" max="12" width="15.05078125" bestFit="1" customWidth="1"/>
    <col min="15" max="15" width="11.26171875" bestFit="1" customWidth="1"/>
  </cols>
  <sheetData>
    <row r="1" spans="1:21" ht="14.7" customHeight="1" x14ac:dyDescent="0.55000000000000004">
      <c r="A1" t="s">
        <v>41</v>
      </c>
      <c r="B1" s="11" t="s">
        <v>45</v>
      </c>
      <c r="C1" s="11"/>
      <c r="D1" s="11"/>
      <c r="E1" s="11"/>
      <c r="F1" s="11"/>
      <c r="G1" s="11"/>
      <c r="H1" s="11"/>
      <c r="I1" s="11"/>
      <c r="J1" s="11"/>
      <c r="K1" s="11"/>
      <c r="L1" s="11"/>
    </row>
    <row r="2" spans="1:21" ht="72" customHeight="1" x14ac:dyDescent="0.55000000000000004">
      <c r="A2" t="s">
        <v>46</v>
      </c>
      <c r="B2" s="11" t="s">
        <v>50</v>
      </c>
      <c r="C2" s="11"/>
      <c r="D2" s="11"/>
      <c r="E2" s="11"/>
      <c r="F2" s="11"/>
      <c r="G2" s="11"/>
      <c r="H2" s="11"/>
      <c r="I2" s="11"/>
      <c r="J2" s="11"/>
      <c r="K2" s="11"/>
      <c r="L2" s="11"/>
    </row>
    <row r="3" spans="1:21" ht="58.5" customHeight="1" x14ac:dyDescent="0.55000000000000004">
      <c r="A3" t="s">
        <v>42</v>
      </c>
      <c r="B3" s="11" t="s">
        <v>44</v>
      </c>
      <c r="C3" s="11"/>
      <c r="D3" s="11"/>
      <c r="E3" s="11"/>
      <c r="F3" s="11"/>
      <c r="G3" s="11"/>
      <c r="H3" s="11"/>
      <c r="I3" s="11"/>
      <c r="J3" s="11"/>
      <c r="K3" s="11"/>
      <c r="L3" s="11"/>
    </row>
    <row r="4" spans="1:21" x14ac:dyDescent="0.55000000000000004">
      <c r="B4" t="s">
        <v>0</v>
      </c>
      <c r="C4" t="s">
        <v>1</v>
      </c>
      <c r="D4" t="s">
        <v>2</v>
      </c>
      <c r="E4" t="s">
        <v>48</v>
      </c>
      <c r="F4" t="s">
        <v>15</v>
      </c>
      <c r="G4" t="s">
        <v>49</v>
      </c>
      <c r="H4" t="s">
        <v>14</v>
      </c>
      <c r="I4" t="s">
        <v>37</v>
      </c>
      <c r="J4" t="s">
        <v>3</v>
      </c>
      <c r="K4" t="s">
        <v>4</v>
      </c>
      <c r="L4" t="s">
        <v>25</v>
      </c>
      <c r="N4" t="s">
        <v>7</v>
      </c>
      <c r="P4" s="10" t="s">
        <v>47</v>
      </c>
      <c r="Q4" s="10"/>
      <c r="R4" s="10"/>
      <c r="S4" s="10"/>
      <c r="T4" s="10"/>
      <c r="U4" t="s">
        <v>23</v>
      </c>
    </row>
    <row r="5" spans="1:21" x14ac:dyDescent="0.55000000000000004">
      <c r="B5" s="2">
        <v>1</v>
      </c>
      <c r="C5" s="2" t="s">
        <v>14</v>
      </c>
      <c r="D5">
        <v>1</v>
      </c>
      <c r="E5">
        <v>220</v>
      </c>
      <c r="F5">
        <v>0</v>
      </c>
      <c r="G5" s="3">
        <v>1</v>
      </c>
      <c r="H5" s="3">
        <v>0.1</v>
      </c>
      <c r="I5" s="3">
        <v>1</v>
      </c>
      <c r="J5" t="s">
        <v>21</v>
      </c>
      <c r="L5" t="s">
        <v>52</v>
      </c>
      <c r="N5" s="1" cm="1">
        <f t="array" aca="1" ref="N5:N10" ca="1">_xlfn.SORTBY(_xlfn.SEQUENCE(6),_xlfn.RANDARRAY(6))</f>
        <v>4</v>
      </c>
      <c r="P5" t="s">
        <v>8</v>
      </c>
      <c r="Q5" t="s">
        <v>15</v>
      </c>
      <c r="R5" t="s">
        <v>13</v>
      </c>
      <c r="S5" t="s">
        <v>14</v>
      </c>
      <c r="T5" t="s">
        <v>16</v>
      </c>
    </row>
    <row r="6" spans="1:21" x14ac:dyDescent="0.55000000000000004">
      <c r="B6" s="2">
        <v>1</v>
      </c>
      <c r="C6" s="2" t="s">
        <v>14</v>
      </c>
      <c r="D6">
        <v>2</v>
      </c>
      <c r="E6">
        <v>220</v>
      </c>
      <c r="F6">
        <v>0</v>
      </c>
      <c r="G6" s="3">
        <v>1</v>
      </c>
      <c r="H6" s="3">
        <v>0.2</v>
      </c>
      <c r="I6" s="3">
        <v>1</v>
      </c>
      <c r="J6" t="s">
        <v>51</v>
      </c>
      <c r="L6" t="s">
        <v>24</v>
      </c>
      <c r="N6" s="1">
        <f ca="1"/>
        <v>6</v>
      </c>
      <c r="O6" t="s">
        <v>9</v>
      </c>
      <c r="P6" s="5">
        <v>240</v>
      </c>
      <c r="Q6" s="5">
        <v>0</v>
      </c>
      <c r="R6" s="3">
        <v>0.2</v>
      </c>
      <c r="S6" s="3">
        <v>0.2</v>
      </c>
      <c r="T6" s="8">
        <v>1.5</v>
      </c>
    </row>
    <row r="7" spans="1:21" x14ac:dyDescent="0.55000000000000004">
      <c r="B7" s="2">
        <v>1</v>
      </c>
      <c r="C7" s="2" t="s">
        <v>14</v>
      </c>
      <c r="D7">
        <v>3</v>
      </c>
      <c r="E7">
        <v>220</v>
      </c>
      <c r="F7">
        <v>0</v>
      </c>
      <c r="G7" s="3">
        <v>1</v>
      </c>
      <c r="H7" s="3">
        <v>0.4</v>
      </c>
      <c r="I7" s="3">
        <v>1</v>
      </c>
      <c r="J7" t="s">
        <v>21</v>
      </c>
      <c r="L7" t="s">
        <v>24</v>
      </c>
      <c r="N7" s="1">
        <f ca="1"/>
        <v>2</v>
      </c>
      <c r="O7" t="s">
        <v>10</v>
      </c>
      <c r="P7">
        <v>280</v>
      </c>
      <c r="Q7">
        <v>3</v>
      </c>
      <c r="R7" s="6">
        <v>0.7</v>
      </c>
      <c r="S7" s="6">
        <v>0.3</v>
      </c>
      <c r="T7" s="4">
        <v>2</v>
      </c>
    </row>
    <row r="8" spans="1:21" x14ac:dyDescent="0.55000000000000004">
      <c r="B8" s="2">
        <v>1</v>
      </c>
      <c r="C8" s="2" t="s">
        <v>14</v>
      </c>
      <c r="D8">
        <v>4</v>
      </c>
      <c r="E8">
        <v>220</v>
      </c>
      <c r="F8">
        <v>0</v>
      </c>
      <c r="G8" s="3">
        <v>1</v>
      </c>
      <c r="H8" s="3">
        <v>0.5</v>
      </c>
      <c r="I8" s="3">
        <v>1</v>
      </c>
      <c r="J8" t="s">
        <v>21</v>
      </c>
      <c r="L8" t="s">
        <v>24</v>
      </c>
      <c r="N8" s="1">
        <f ca="1"/>
        <v>1</v>
      </c>
    </row>
    <row r="9" spans="1:21" x14ac:dyDescent="0.55000000000000004">
      <c r="B9" s="2">
        <v>1</v>
      </c>
      <c r="C9" s="2" t="s">
        <v>14</v>
      </c>
      <c r="D9">
        <v>5</v>
      </c>
      <c r="E9">
        <v>220</v>
      </c>
      <c r="F9">
        <v>0</v>
      </c>
      <c r="G9" s="3">
        <v>1</v>
      </c>
      <c r="H9" s="3">
        <v>0.3</v>
      </c>
      <c r="I9" s="3">
        <v>1</v>
      </c>
      <c r="J9" t="s">
        <v>21</v>
      </c>
      <c r="L9" t="s">
        <v>24</v>
      </c>
      <c r="M9" t="s">
        <v>24</v>
      </c>
      <c r="N9" s="1">
        <f ca="1"/>
        <v>3</v>
      </c>
    </row>
    <row r="10" spans="1:21" x14ac:dyDescent="0.55000000000000004">
      <c r="B10" s="2">
        <v>1</v>
      </c>
      <c r="C10" s="2" t="s">
        <v>14</v>
      </c>
      <c r="D10">
        <v>6</v>
      </c>
      <c r="E10">
        <v>220</v>
      </c>
      <c r="F10">
        <v>0</v>
      </c>
      <c r="G10" s="3">
        <v>1</v>
      </c>
      <c r="H10" s="3">
        <v>0</v>
      </c>
      <c r="I10" s="3">
        <v>1</v>
      </c>
      <c r="J10" t="s">
        <v>51</v>
      </c>
      <c r="K10" s="9" t="s">
        <v>34</v>
      </c>
      <c r="L10" t="s">
        <v>24</v>
      </c>
      <c r="N10" s="1">
        <f ca="1"/>
        <v>5</v>
      </c>
    </row>
    <row r="11" spans="1:21" x14ac:dyDescent="0.55000000000000004">
      <c r="B11" s="2">
        <v>2</v>
      </c>
      <c r="C11" s="2" t="s">
        <v>14</v>
      </c>
      <c r="D11">
        <v>1</v>
      </c>
      <c r="E11">
        <v>230</v>
      </c>
      <c r="F11">
        <v>0</v>
      </c>
      <c r="G11" s="3">
        <v>0.9</v>
      </c>
      <c r="H11" s="3">
        <v>0.42</v>
      </c>
      <c r="I11" s="3">
        <v>1.1000000000000001</v>
      </c>
      <c r="J11" t="s">
        <v>21</v>
      </c>
      <c r="L11" t="s">
        <v>54</v>
      </c>
    </row>
    <row r="12" spans="1:21" x14ac:dyDescent="0.55000000000000004">
      <c r="B12" s="2">
        <v>2</v>
      </c>
      <c r="C12" s="2" t="s">
        <v>14</v>
      </c>
      <c r="D12">
        <v>2</v>
      </c>
      <c r="E12">
        <v>230</v>
      </c>
      <c r="F12">
        <v>0</v>
      </c>
      <c r="G12" s="3">
        <v>0.9</v>
      </c>
      <c r="H12" s="3">
        <v>0.18</v>
      </c>
      <c r="I12" s="3">
        <v>1.1000000000000001</v>
      </c>
      <c r="J12" t="s">
        <v>51</v>
      </c>
      <c r="K12" s="9" t="s">
        <v>53</v>
      </c>
      <c r="L12" t="s">
        <v>55</v>
      </c>
    </row>
    <row r="13" spans="1:21" x14ac:dyDescent="0.55000000000000004">
      <c r="B13" s="2">
        <v>2</v>
      </c>
      <c r="C13" s="2" t="s">
        <v>14</v>
      </c>
      <c r="D13">
        <v>3</v>
      </c>
      <c r="E13">
        <v>230</v>
      </c>
      <c r="F13">
        <v>0</v>
      </c>
      <c r="G13" s="3">
        <v>0.9</v>
      </c>
      <c r="H13" s="3">
        <v>0.5</v>
      </c>
      <c r="I13" s="3">
        <v>1.1000000000000001</v>
      </c>
      <c r="J13" t="s">
        <v>21</v>
      </c>
      <c r="L13" t="s">
        <v>24</v>
      </c>
    </row>
    <row r="14" spans="1:21" x14ac:dyDescent="0.55000000000000004">
      <c r="B14" s="2">
        <v>2</v>
      </c>
      <c r="C14" s="2" t="s">
        <v>14</v>
      </c>
      <c r="D14">
        <v>4</v>
      </c>
      <c r="E14">
        <v>230</v>
      </c>
      <c r="F14">
        <v>0</v>
      </c>
      <c r="G14" s="3">
        <v>0.9</v>
      </c>
      <c r="H14" s="3">
        <v>0.26</v>
      </c>
      <c r="I14" s="3">
        <v>1.1000000000000001</v>
      </c>
      <c r="J14" t="s">
        <v>21</v>
      </c>
      <c r="L14" t="s">
        <v>24</v>
      </c>
    </row>
    <row r="15" spans="1:21" x14ac:dyDescent="0.55000000000000004">
      <c r="B15" s="2">
        <v>2</v>
      </c>
      <c r="C15" s="2" t="s">
        <v>14</v>
      </c>
      <c r="D15">
        <v>5</v>
      </c>
      <c r="E15">
        <v>230</v>
      </c>
      <c r="F15">
        <v>0</v>
      </c>
      <c r="G15" s="3">
        <v>0.9</v>
      </c>
      <c r="H15" s="3">
        <v>0.1</v>
      </c>
      <c r="I15" s="3">
        <v>1.1000000000000001</v>
      </c>
      <c r="J15" t="s">
        <v>51</v>
      </c>
      <c r="K15" s="9" t="s">
        <v>53</v>
      </c>
      <c r="L15" t="s">
        <v>24</v>
      </c>
    </row>
    <row r="16" spans="1:21" x14ac:dyDescent="0.55000000000000004">
      <c r="B16" s="2">
        <v>2</v>
      </c>
      <c r="C16" s="2" t="s">
        <v>14</v>
      </c>
      <c r="D16">
        <v>6</v>
      </c>
      <c r="E16">
        <v>230</v>
      </c>
      <c r="F16">
        <v>0</v>
      </c>
      <c r="G16" s="3">
        <v>0.9</v>
      </c>
      <c r="H16" s="3">
        <v>0.34</v>
      </c>
      <c r="I16" s="3">
        <v>1.1000000000000001</v>
      </c>
      <c r="J16" t="s">
        <v>21</v>
      </c>
      <c r="L16" t="s">
        <v>24</v>
      </c>
    </row>
    <row r="17" spans="2:12" x14ac:dyDescent="0.55000000000000004">
      <c r="B17" s="2">
        <v>3</v>
      </c>
      <c r="C17" s="2" t="s">
        <v>14</v>
      </c>
      <c r="D17">
        <v>1</v>
      </c>
      <c r="E17">
        <v>240</v>
      </c>
      <c r="F17">
        <v>0</v>
      </c>
      <c r="G17" s="3">
        <v>0.8</v>
      </c>
      <c r="H17" s="3">
        <v>0.26</v>
      </c>
      <c r="I17" s="3">
        <v>1.3</v>
      </c>
      <c r="J17" t="s">
        <v>51</v>
      </c>
      <c r="L17" t="s">
        <v>56</v>
      </c>
    </row>
    <row r="18" spans="2:12" x14ac:dyDescent="0.55000000000000004">
      <c r="B18" s="2">
        <v>3</v>
      </c>
      <c r="C18" s="2" t="s">
        <v>14</v>
      </c>
      <c r="D18">
        <v>2</v>
      </c>
      <c r="E18">
        <v>240</v>
      </c>
      <c r="F18">
        <v>0</v>
      </c>
      <c r="G18" s="3">
        <v>0.8</v>
      </c>
      <c r="H18" s="3">
        <v>0.32</v>
      </c>
      <c r="I18" s="3">
        <v>1.3</v>
      </c>
      <c r="J18" t="s">
        <v>21</v>
      </c>
      <c r="K18" t="s">
        <v>57</v>
      </c>
      <c r="L18" t="s">
        <v>58</v>
      </c>
    </row>
    <row r="19" spans="2:12" x14ac:dyDescent="0.55000000000000004">
      <c r="B19" s="2">
        <v>3</v>
      </c>
      <c r="C19" s="2" t="s">
        <v>14</v>
      </c>
      <c r="D19">
        <v>3</v>
      </c>
      <c r="E19">
        <v>240</v>
      </c>
      <c r="F19">
        <v>0</v>
      </c>
      <c r="G19" s="3">
        <v>0.8</v>
      </c>
      <c r="H19" s="3">
        <v>0.38</v>
      </c>
      <c r="I19" s="3">
        <v>1.3</v>
      </c>
      <c r="J19" t="s">
        <v>21</v>
      </c>
    </row>
    <row r="20" spans="2:12" x14ac:dyDescent="0.55000000000000004">
      <c r="B20" s="2">
        <v>3</v>
      </c>
      <c r="C20" s="2" t="s">
        <v>14</v>
      </c>
      <c r="D20">
        <v>4</v>
      </c>
      <c r="E20">
        <v>240</v>
      </c>
      <c r="F20">
        <v>0</v>
      </c>
      <c r="G20" s="3">
        <v>0.8</v>
      </c>
      <c r="H20" s="3">
        <v>0.2</v>
      </c>
      <c r="I20" s="3">
        <v>1.3</v>
      </c>
      <c r="J20" t="s">
        <v>51</v>
      </c>
    </row>
    <row r="21" spans="2:12" x14ac:dyDescent="0.55000000000000004">
      <c r="B21" s="2">
        <v>3</v>
      </c>
      <c r="C21" s="2" t="s">
        <v>14</v>
      </c>
      <c r="D21">
        <v>5</v>
      </c>
      <c r="E21">
        <v>240</v>
      </c>
      <c r="F21">
        <v>0</v>
      </c>
      <c r="G21" s="3">
        <v>0.8</v>
      </c>
      <c r="H21" s="3">
        <v>0.44</v>
      </c>
      <c r="I21" s="3">
        <v>1.3</v>
      </c>
      <c r="J21" t="s">
        <v>21</v>
      </c>
    </row>
    <row r="22" spans="2:12" x14ac:dyDescent="0.55000000000000004">
      <c r="B22" s="2">
        <v>3</v>
      </c>
      <c r="C22" s="2" t="s">
        <v>14</v>
      </c>
      <c r="D22">
        <v>6</v>
      </c>
      <c r="E22">
        <v>240</v>
      </c>
      <c r="F22">
        <v>0</v>
      </c>
      <c r="G22" s="3">
        <v>0.8</v>
      </c>
      <c r="H22" s="3">
        <v>0.5</v>
      </c>
      <c r="I22" s="3">
        <v>1.3</v>
      </c>
      <c r="J22" t="s">
        <v>21</v>
      </c>
    </row>
    <row r="23" spans="2:12" x14ac:dyDescent="0.55000000000000004">
      <c r="B23" s="2">
        <v>4</v>
      </c>
      <c r="C23" s="2" t="s">
        <v>14</v>
      </c>
      <c r="D23">
        <v>1</v>
      </c>
      <c r="E23">
        <v>240</v>
      </c>
      <c r="F23">
        <v>0</v>
      </c>
      <c r="G23" s="3">
        <v>0.7</v>
      </c>
      <c r="H23" s="3">
        <v>0.38</v>
      </c>
      <c r="I23" s="3">
        <v>1.5</v>
      </c>
      <c r="J23" t="s">
        <v>21</v>
      </c>
      <c r="L23" t="s">
        <v>56</v>
      </c>
    </row>
    <row r="24" spans="2:12" x14ac:dyDescent="0.55000000000000004">
      <c r="B24" s="2">
        <v>4</v>
      </c>
      <c r="C24" s="2" t="s">
        <v>14</v>
      </c>
      <c r="D24">
        <v>2</v>
      </c>
      <c r="E24">
        <v>240</v>
      </c>
      <c r="F24">
        <v>0</v>
      </c>
      <c r="G24" s="3">
        <v>0.7</v>
      </c>
      <c r="H24" s="3">
        <v>0.32</v>
      </c>
      <c r="I24" s="3">
        <v>1.5</v>
      </c>
      <c r="J24" t="s">
        <v>17</v>
      </c>
      <c r="L24" t="s">
        <v>60</v>
      </c>
    </row>
    <row r="25" spans="2:12" x14ac:dyDescent="0.55000000000000004">
      <c r="B25" s="2">
        <v>4</v>
      </c>
      <c r="C25" s="2" t="s">
        <v>14</v>
      </c>
      <c r="D25">
        <v>3</v>
      </c>
      <c r="E25">
        <v>240</v>
      </c>
      <c r="F25">
        <v>0</v>
      </c>
      <c r="G25" s="3">
        <v>0.7</v>
      </c>
      <c r="H25" s="3">
        <v>0.44</v>
      </c>
      <c r="I25" s="3">
        <v>1.5</v>
      </c>
      <c r="J25" t="s">
        <v>21</v>
      </c>
    </row>
    <row r="26" spans="2:12" x14ac:dyDescent="0.55000000000000004">
      <c r="B26" s="2">
        <v>4</v>
      </c>
      <c r="C26" s="2" t="s">
        <v>14</v>
      </c>
      <c r="D26">
        <v>4</v>
      </c>
      <c r="E26">
        <v>240</v>
      </c>
      <c r="F26">
        <v>0</v>
      </c>
      <c r="G26" s="3">
        <v>0.7</v>
      </c>
      <c r="H26" s="3">
        <v>0.5</v>
      </c>
      <c r="I26" s="3">
        <v>1.5</v>
      </c>
      <c r="J26" t="s">
        <v>21</v>
      </c>
    </row>
    <row r="27" spans="2:12" x14ac:dyDescent="0.55000000000000004">
      <c r="B27" s="2">
        <v>4</v>
      </c>
      <c r="C27" s="2" t="s">
        <v>14</v>
      </c>
      <c r="D27">
        <v>5</v>
      </c>
      <c r="E27">
        <v>240</v>
      </c>
      <c r="F27">
        <v>0</v>
      </c>
      <c r="G27" s="3">
        <v>0.7</v>
      </c>
      <c r="H27" s="3">
        <v>0.2</v>
      </c>
      <c r="I27" s="3">
        <v>1.5</v>
      </c>
      <c r="J27" t="s">
        <v>17</v>
      </c>
    </row>
    <row r="28" spans="2:12" x14ac:dyDescent="0.55000000000000004">
      <c r="B28" s="2">
        <v>4</v>
      </c>
      <c r="C28" s="2" t="s">
        <v>14</v>
      </c>
      <c r="D28">
        <v>6</v>
      </c>
      <c r="E28">
        <v>240</v>
      </c>
      <c r="F28">
        <v>0</v>
      </c>
      <c r="G28" s="3">
        <v>0.7</v>
      </c>
      <c r="H28" s="3">
        <v>0.26</v>
      </c>
      <c r="I28" s="3">
        <v>1.5</v>
      </c>
      <c r="J28" t="s">
        <v>17</v>
      </c>
    </row>
    <row r="29" spans="2:12" x14ac:dyDescent="0.55000000000000004">
      <c r="B29" s="2">
        <v>5</v>
      </c>
      <c r="C29" s="2" t="s">
        <v>59</v>
      </c>
      <c r="D29">
        <v>1</v>
      </c>
      <c r="E29">
        <v>240</v>
      </c>
      <c r="F29">
        <v>0</v>
      </c>
      <c r="G29" s="3">
        <v>0.7</v>
      </c>
      <c r="H29" s="3">
        <v>0.3</v>
      </c>
      <c r="I29" s="3">
        <v>1.5</v>
      </c>
      <c r="J29" t="s">
        <v>17</v>
      </c>
      <c r="L29" t="s">
        <v>61</v>
      </c>
    </row>
    <row r="30" spans="2:12" x14ac:dyDescent="0.55000000000000004">
      <c r="B30" s="2">
        <v>5</v>
      </c>
      <c r="C30" s="2" t="s">
        <v>59</v>
      </c>
      <c r="D30">
        <v>2</v>
      </c>
      <c r="E30">
        <v>240</v>
      </c>
      <c r="F30">
        <v>0</v>
      </c>
      <c r="G30" s="3">
        <v>0.7</v>
      </c>
      <c r="H30" s="3">
        <v>0.3</v>
      </c>
      <c r="I30" s="3">
        <v>1.5</v>
      </c>
      <c r="J30" t="s">
        <v>17</v>
      </c>
      <c r="L30" t="s">
        <v>62</v>
      </c>
    </row>
    <row r="31" spans="2:12" x14ac:dyDescent="0.55000000000000004">
      <c r="B31" s="2">
        <v>5</v>
      </c>
      <c r="C31" s="2" t="s">
        <v>59</v>
      </c>
      <c r="D31">
        <v>3</v>
      </c>
      <c r="E31">
        <v>240</v>
      </c>
      <c r="F31">
        <v>0</v>
      </c>
      <c r="G31" s="3">
        <v>0.7</v>
      </c>
      <c r="H31" s="3">
        <v>0.3</v>
      </c>
      <c r="I31" s="3">
        <v>1.5</v>
      </c>
      <c r="J31" t="s">
        <v>17</v>
      </c>
    </row>
    <row r="32" spans="2:12" x14ac:dyDescent="0.55000000000000004">
      <c r="B32" s="2">
        <v>5</v>
      </c>
      <c r="C32" s="2" t="s">
        <v>59</v>
      </c>
      <c r="D32">
        <v>4</v>
      </c>
      <c r="E32">
        <v>240</v>
      </c>
      <c r="F32">
        <v>0</v>
      </c>
      <c r="G32" s="3">
        <v>0.7</v>
      </c>
      <c r="H32" s="3">
        <v>0.3</v>
      </c>
      <c r="I32" s="3">
        <v>1.5</v>
      </c>
      <c r="J32" t="s">
        <v>17</v>
      </c>
    </row>
    <row r="33" spans="2:10" x14ac:dyDescent="0.55000000000000004">
      <c r="B33" s="2">
        <v>5</v>
      </c>
      <c r="C33" s="2" t="s">
        <v>59</v>
      </c>
      <c r="D33">
        <v>5</v>
      </c>
      <c r="E33">
        <v>240</v>
      </c>
      <c r="F33">
        <v>0</v>
      </c>
      <c r="G33" s="3">
        <v>0.7</v>
      </c>
      <c r="H33" s="3">
        <v>0.3</v>
      </c>
      <c r="I33" s="3">
        <v>1.5</v>
      </c>
      <c r="J33" t="s">
        <v>17</v>
      </c>
    </row>
    <row r="34" spans="2:10" x14ac:dyDescent="0.55000000000000004">
      <c r="B34" s="2">
        <v>5</v>
      </c>
      <c r="C34" s="2" t="s">
        <v>59</v>
      </c>
      <c r="D34">
        <v>6</v>
      </c>
      <c r="E34">
        <v>240</v>
      </c>
      <c r="F34">
        <v>0</v>
      </c>
      <c r="G34" s="3">
        <v>0.7</v>
      </c>
      <c r="H34" s="3">
        <v>0.3</v>
      </c>
      <c r="I34" s="3">
        <v>1.5</v>
      </c>
      <c r="J34" t="s">
        <v>17</v>
      </c>
    </row>
  </sheetData>
  <mergeCells count="4">
    <mergeCell ref="P4:T4"/>
    <mergeCell ref="B1:L1"/>
    <mergeCell ref="B2:L2"/>
    <mergeCell ref="B3:L3"/>
  </mergeCells>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423B3-B449-47D8-BD6B-458BD3F2D6C3}">
  <dimension ref="A1:R10"/>
  <sheetViews>
    <sheetView tabSelected="1" workbookViewId="0">
      <selection activeCell="B21" sqref="B21"/>
    </sheetView>
  </sheetViews>
  <sheetFormatPr defaultRowHeight="14.4" x14ac:dyDescent="0.55000000000000004"/>
  <cols>
    <col min="1" max="1" width="16.7890625" bestFit="1" customWidth="1"/>
    <col min="2" max="2" width="6.3671875" bestFit="1" customWidth="1"/>
    <col min="3" max="3" width="9.7890625" bestFit="1" customWidth="1"/>
    <col min="4" max="4" width="17.68359375" bestFit="1" customWidth="1"/>
    <col min="5" max="5" width="8.89453125" bestFit="1" customWidth="1"/>
    <col min="6" max="6" width="15.3125" bestFit="1" customWidth="1"/>
    <col min="7" max="7" width="9.68359375" bestFit="1" customWidth="1"/>
    <col min="8" max="8" width="15.47265625" bestFit="1" customWidth="1"/>
    <col min="9" max="9" width="22.9453125" bestFit="1" customWidth="1"/>
    <col min="10" max="10" width="8.1015625" bestFit="1" customWidth="1"/>
    <col min="11" max="11" width="15.83984375" bestFit="1" customWidth="1"/>
  </cols>
  <sheetData>
    <row r="1" spans="1:18" x14ac:dyDescent="0.55000000000000004">
      <c r="A1" t="s">
        <v>41</v>
      </c>
      <c r="B1" s="11" t="s">
        <v>64</v>
      </c>
      <c r="C1" s="11"/>
      <c r="D1" s="11"/>
      <c r="E1" s="11"/>
      <c r="F1" s="11"/>
      <c r="G1" s="11"/>
      <c r="H1" s="11"/>
      <c r="I1" s="11"/>
      <c r="J1" s="11"/>
      <c r="K1" s="11"/>
    </row>
    <row r="2" spans="1:18" x14ac:dyDescent="0.55000000000000004">
      <c r="A2" t="s">
        <v>46</v>
      </c>
      <c r="B2" s="11" t="s">
        <v>63</v>
      </c>
      <c r="C2" s="11"/>
      <c r="D2" s="11"/>
      <c r="E2" s="11"/>
      <c r="F2" s="11"/>
      <c r="G2" s="11"/>
      <c r="H2" s="11"/>
      <c r="I2" s="11"/>
      <c r="J2" s="11"/>
      <c r="K2" s="11"/>
      <c r="N2" s="10" t="s">
        <v>47</v>
      </c>
      <c r="O2" s="10"/>
      <c r="P2" s="10"/>
      <c r="Q2" s="10"/>
      <c r="R2" s="10"/>
    </row>
    <row r="3" spans="1:18" x14ac:dyDescent="0.55000000000000004">
      <c r="B3" s="11"/>
      <c r="C3" s="11"/>
      <c r="D3" s="11"/>
      <c r="E3" s="11"/>
      <c r="F3" s="11"/>
      <c r="G3" s="11"/>
      <c r="H3" s="11"/>
      <c r="I3" s="11"/>
      <c r="J3" s="11"/>
      <c r="K3" s="11"/>
      <c r="N3" t="s">
        <v>8</v>
      </c>
      <c r="O3" t="s">
        <v>15</v>
      </c>
      <c r="P3" t="s">
        <v>13</v>
      </c>
      <c r="Q3" t="s">
        <v>14</v>
      </c>
      <c r="R3" t="s">
        <v>16</v>
      </c>
    </row>
    <row r="4" spans="1:18" x14ac:dyDescent="0.55000000000000004">
      <c r="B4" t="s">
        <v>0</v>
      </c>
      <c r="C4" t="s">
        <v>2</v>
      </c>
      <c r="D4" t="s">
        <v>66</v>
      </c>
      <c r="E4" t="s">
        <v>15</v>
      </c>
      <c r="F4" t="s">
        <v>49</v>
      </c>
      <c r="G4" t="s">
        <v>14</v>
      </c>
      <c r="H4" t="s">
        <v>37</v>
      </c>
      <c r="I4" t="s">
        <v>65</v>
      </c>
      <c r="J4" t="s">
        <v>4</v>
      </c>
      <c r="K4" t="s">
        <v>25</v>
      </c>
      <c r="M4" t="s">
        <v>9</v>
      </c>
      <c r="N4" s="12">
        <v>240</v>
      </c>
      <c r="O4" s="12">
        <v>0</v>
      </c>
      <c r="P4" s="13">
        <v>0.2</v>
      </c>
      <c r="Q4" s="13">
        <v>0.2</v>
      </c>
      <c r="R4" s="14">
        <v>1.5</v>
      </c>
    </row>
    <row r="5" spans="1:18" x14ac:dyDescent="0.55000000000000004">
      <c r="B5" s="2">
        <v>1</v>
      </c>
      <c r="C5">
        <v>1</v>
      </c>
      <c r="D5">
        <v>260</v>
      </c>
      <c r="E5">
        <v>1</v>
      </c>
      <c r="F5" s="3">
        <v>0.45</v>
      </c>
      <c r="G5" s="3">
        <v>0.25</v>
      </c>
      <c r="H5" s="3">
        <v>1.75</v>
      </c>
      <c r="M5" t="s">
        <v>10</v>
      </c>
      <c r="N5" s="12">
        <v>280</v>
      </c>
      <c r="O5" s="12">
        <v>3</v>
      </c>
      <c r="P5" s="13">
        <v>0.7</v>
      </c>
      <c r="Q5" s="13">
        <v>0.3</v>
      </c>
      <c r="R5" s="14">
        <v>2</v>
      </c>
    </row>
    <row r="6" spans="1:18" x14ac:dyDescent="0.55000000000000004">
      <c r="B6" s="2">
        <v>1</v>
      </c>
      <c r="C6">
        <v>2</v>
      </c>
      <c r="D6">
        <v>260</v>
      </c>
      <c r="E6">
        <v>1</v>
      </c>
      <c r="F6" s="3">
        <v>0.45</v>
      </c>
      <c r="G6" s="3">
        <v>0.25</v>
      </c>
      <c r="H6" s="3">
        <v>1.75</v>
      </c>
      <c r="M6" t="s">
        <v>11</v>
      </c>
      <c r="N6" s="15">
        <f>(N5+N4)/2</f>
        <v>260</v>
      </c>
      <c r="O6" s="15">
        <f>_xlfn.FLOOR.MATH((O5+O4)/2)</f>
        <v>1</v>
      </c>
      <c r="P6" s="15">
        <f t="shared" ref="P6:R6" si="0">(P5+P4)/2</f>
        <v>0.44999999999999996</v>
      </c>
      <c r="Q6" s="15">
        <f t="shared" si="0"/>
        <v>0.25</v>
      </c>
      <c r="R6" s="16">
        <f t="shared" si="0"/>
        <v>1.75</v>
      </c>
    </row>
    <row r="7" spans="1:18" x14ac:dyDescent="0.55000000000000004">
      <c r="B7" s="2">
        <v>1</v>
      </c>
      <c r="C7">
        <v>3</v>
      </c>
      <c r="D7">
        <v>260</v>
      </c>
      <c r="E7">
        <v>1</v>
      </c>
      <c r="F7" s="3">
        <v>0.45</v>
      </c>
      <c r="G7" s="3">
        <v>0.25</v>
      </c>
      <c r="H7" s="3">
        <v>1.75</v>
      </c>
    </row>
    <row r="8" spans="1:18" x14ac:dyDescent="0.55000000000000004">
      <c r="B8" s="2">
        <v>1</v>
      </c>
      <c r="C8">
        <v>4</v>
      </c>
      <c r="D8">
        <v>260</v>
      </c>
      <c r="E8">
        <v>1</v>
      </c>
      <c r="F8" s="3">
        <v>0.45</v>
      </c>
      <c r="G8" s="3">
        <v>0.25</v>
      </c>
      <c r="H8" s="3">
        <v>1.75</v>
      </c>
    </row>
    <row r="9" spans="1:18" x14ac:dyDescent="0.55000000000000004">
      <c r="B9" s="2">
        <v>1</v>
      </c>
      <c r="C9">
        <v>5</v>
      </c>
      <c r="D9">
        <v>260</v>
      </c>
      <c r="E9">
        <v>1</v>
      </c>
      <c r="F9" s="3">
        <v>0.45</v>
      </c>
      <c r="G9" s="3">
        <v>0.25</v>
      </c>
      <c r="H9" s="3">
        <v>1.75</v>
      </c>
    </row>
    <row r="10" spans="1:18" x14ac:dyDescent="0.55000000000000004">
      <c r="B10" s="2">
        <v>1</v>
      </c>
      <c r="C10">
        <v>6</v>
      </c>
      <c r="D10">
        <v>260</v>
      </c>
      <c r="E10">
        <v>1</v>
      </c>
      <c r="F10" s="3">
        <v>0.45</v>
      </c>
      <c r="G10" s="3">
        <v>0.25</v>
      </c>
      <c r="H10" s="3">
        <v>1.75</v>
      </c>
    </row>
  </sheetData>
  <mergeCells count="4">
    <mergeCell ref="N2:R2"/>
    <mergeCell ref="B1:K1"/>
    <mergeCell ref="B2:K2"/>
    <mergeCell ref="B3:K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Initial Testing</vt:lpstr>
      <vt:lpstr>Starting from Printing Settings</vt:lpstr>
      <vt:lpstr>Variance 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Carr (RIT Alumni)</dc:creator>
  <cp:lastModifiedBy>Timothy Carr (RIT Alumni)</cp:lastModifiedBy>
  <dcterms:created xsi:type="dcterms:W3CDTF">2026-09-18T14:39:36Z</dcterms:created>
  <dcterms:modified xsi:type="dcterms:W3CDTF">2026-09-23T14:59:05Z</dcterms:modified>
</cp:coreProperties>
</file>