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Github Stuff\Cylindrical-4th-Axis-Printer\Prusa Work\Adhesion Testing\"/>
    </mc:Choice>
  </mc:AlternateContent>
  <xr:revisionPtr revIDLastSave="0" documentId="13_ncr:1_{8B761D57-D0D4-4C73-B34F-D64D872C9DBD}" xr6:coauthVersionLast="47" xr6:coauthVersionMax="47" xr10:uidLastSave="{00000000-0000-0000-0000-000000000000}"/>
  <bookViews>
    <workbookView xWindow="786" yWindow="738" windowWidth="17280" windowHeight="8910" activeTab="1" xr2:uid="{9A173099-7DCB-4C1C-B974-EA2F92F54F4B}"/>
  </bookViews>
  <sheets>
    <sheet name="Initial Testing" sheetId="1" r:id="rId1"/>
    <sheet name="Final Testing" sheetId="2" r:id="rId2"/>
    <sheet name="Variance Testing"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O6" i="3" l="1"/>
  <c r="P6" i="3"/>
  <c r="Q6" i="3"/>
  <c r="R6" i="3"/>
  <c r="N6" i="3"/>
  <c r="N5" i="2" a="1"/>
  <c r="M8" i="1"/>
  <c r="N8" i="1"/>
  <c r="O8" i="1"/>
  <c r="P8" i="1"/>
  <c r="L8" i="1"/>
  <c r="J5"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<sst xmlns="http://schemas.openxmlformats.org/spreadsheetml/2006/main" count="358" uniqueCount="68">
  <si>
    <t>Run</t>
  </si>
  <si>
    <t>Tested Parameter</t>
  </si>
  <si>
    <t>Mandrel</t>
  </si>
  <si>
    <t>Result</t>
  </si>
  <si>
    <t>Notes</t>
  </si>
  <si>
    <t>Print Temperature</t>
  </si>
  <si>
    <t>Parameter Value</t>
  </si>
  <si>
    <t>Random Generator</t>
  </si>
  <si>
    <t>Temp</t>
  </si>
  <si>
    <t>Lower Bound</t>
  </si>
  <si>
    <t>Upper Bound</t>
  </si>
  <si>
    <t>Midpoint</t>
  </si>
  <si>
    <t>Parameter Midpoints (updated as bounds change)</t>
  </si>
  <si>
    <t>Speed</t>
  </si>
  <si>
    <t>Z Offset</t>
  </si>
  <si>
    <t>Ironing</t>
  </si>
  <si>
    <t>Flow Mult</t>
  </si>
  <si>
    <t>PASS</t>
  </si>
  <si>
    <t>Capping temp at 280 b/c thermal breakdown accelerates rapidly around 300 C</t>
  </si>
  <si>
    <t>Not going lower than 190 C to avoid potential jamming problems</t>
  </si>
  <si>
    <t>Was able to remove mesh from mandrel, but print was barely attached - i.e. was able to remove it without damaging mesh at all</t>
  </si>
  <si>
    <t>FAIL</t>
  </si>
  <si>
    <t>Ironing Passes</t>
  </si>
  <si>
    <t>The "worse" number for the purposes of choosing bad combinations is marked in red</t>
  </si>
  <si>
    <t xml:space="preserve"> </t>
  </si>
  <si>
    <t>Notes For Runs</t>
  </si>
  <si>
    <t>I used 1 ironing pass last run, so the 1 ironing pass tests here are comparable to the 200C tests from the previous run. With that in mind, the fact that one of them failed indicates that 200 C is too low. Thus, I will increase the temp lower bound to 210 and re-run this.</t>
  </si>
  <si>
    <t>By observation, it seems that higher temperature only improves adhesion strength. Because all runs passed, I need to keep expanding the temp range</t>
  </si>
  <si>
    <t>While the 200C runs passed, they were barely attached. I will consider 200 the lower bound for now</t>
  </si>
  <si>
    <t>Print Speed</t>
  </si>
  <si>
    <t>All runs pass, which is good here because we'd like to explore "no ironing" vs "with ironing". No ironing is noticeably the worst performing</t>
  </si>
  <si>
    <t>Higher speeds had observably worse adhesion, and all runs pass so need to increase upper bound. I will increase to 2.0 max.</t>
  </si>
  <si>
    <t>While speeds 1.8 to 2.0 succeeded, they were barely attached. I will treat 2.0 as a reasonable upper limit for now</t>
  </si>
  <si>
    <t>Print strength clearly fell with increasing Z height, making 0.48 a clear upper bound. However, I expected worse performance from lower range. I don't want to go to much below zero, as this will cause the nozzle to intentionally crash into the mandrel, but I'll explore some negative space in the next test and see how much further down I can go.</t>
  </si>
  <si>
    <t>Grating' sound as the nozzle travels across the mesh. Mandrel clearly is being pushed down by the nozzle as it travels for first few layers</t>
  </si>
  <si>
    <t>Mandrel clearly is being pushed down by the nozzle as it travels for first few layers</t>
  </si>
  <si>
    <t>Using the springy-ness of the mandrel (from all prints where the mandrel is getting pushed down during printing) will make results not applicable to mandrels of different lengths, different materials, or held in different ways. I'll keep the lower bound for z offset at 0</t>
  </si>
  <si>
    <t>Flow Multiplier</t>
  </si>
  <si>
    <t>1.6 is the lowest bound, though all prior prints were done at the midpoint (1.5), and we know from prior runs that those worked, so 1.5 as the lower bound for now</t>
  </si>
  <si>
    <t>Print only fully attached at one point</t>
  </si>
  <si>
    <t>We want to find the largest range of values for each parameter that creates adhesion good enough to test on the ADMET as part of a more rigorous study</t>
  </si>
  <si>
    <t>Goal:</t>
  </si>
  <si>
    <t>Pass condition:</t>
  </si>
  <si>
    <t>Print stays on mesh as it's taken off the mandrels</t>
  </si>
  <si>
    <t>Print is attached well enough along its entire length that I either can't rip it off the mesh with my fingers (HIGH PASS), or when I do the underlying mesh has at least 4 strands of mesh pulled out of the mesh (LOW PASS). One strand of attachment isn't enough because the nozzle stands still over the print for a moment as it changes temperatures, which often causes prints that would otherwise come off without damaging the mesh at all to pull one or two strands off the mesh in the location the nozzle paused over.</t>
  </si>
  <si>
    <t>Find reasonable range of values for each parameter that produce prints good enough for ADMET testing</t>
  </si>
  <si>
    <t>Choosing methods:</t>
  </si>
  <si>
    <t>Parameter Ranges (updated as bounds change)</t>
  </si>
  <si>
    <t>Printing Temp</t>
  </si>
  <si>
    <t>Printing Speed</t>
  </si>
  <si>
    <t>Temp, ironing, speed, and flow mult all have 'standard' values for printing. From initial testing, we see that lower temp, less ironing, higher speed, higher z offset, and lower flow mult all performed worse, but it doesn't make sense to go past the normal printing range values for each of those parameters.  I'll start with the normal printing values and sweep z offset, which was the most sensitive parameter in initial testing, using the upper bound found in initial testing. If the range of z offset values that pass is sufficient, we'll stop there, but if not we can bump one or all other parameters away from its worst value (except ironing because we'd like to compare no ironing to some ironing) until z offset has a suitably large range of values that pass.</t>
  </si>
  <si>
    <t>LOW PASS</t>
  </si>
  <si>
    <t>Increasing low bound from 0.00 to 0.10 b/c of mandrel deflection at that height. This range (0.1 - 0.2) is not acceptably large, so I'll improve other parameters for the next test</t>
  </si>
  <si>
    <t>Grating' sound as the nozzle travels across the mesh. Hard to tell if mandrel is being deflected by nozzle</t>
  </si>
  <si>
    <t>Failures in this run were parts that printed on the mesh, but pulled off without damage to the mesh, this indicates an improvement compared to the previous run, where failures were complete print failures. I'll keep improving the parameters then, seeing as it's working so far</t>
  </si>
  <si>
    <t>Increasing low bound to 0.2, given the grating sound at 0.1 and 0.18 while we didn't see a grating sound at 0.2 in the previous run</t>
  </si>
  <si>
    <t>delta of +0.2 chosen for extrusion multiplier, because initial testing showed high impact from that factor</t>
  </si>
  <si>
    <t>On edge of pass</t>
  </si>
  <si>
    <t>I still want a larger range for z offset, but I don't want to shrink the temperature range any further. I'll improve just speed and flow multiplication then to try and expand the feasible z offset range.</t>
  </si>
  <si>
    <t>N/A</t>
  </si>
  <si>
    <t>A Z range from 0.2mm to 0.3mm seems good enough here. We've seen z offset is very sensitive so 0.2, 0.25, 0.3 seem like they're well enough spaced apart to yield interesting curvature. That means this is a good final set of parameters for the others</t>
  </si>
  <si>
    <t>This run is intended to test the worst case combination we identified last run to see if any fail in a set of 6 prints. If not, this will be our final combination</t>
  </si>
  <si>
    <t>Ok, all pass so this is a good set of parameter worst bounds</t>
  </si>
  <si>
    <t>Variance tested at the midpoint of the tested parameter domain</t>
  </si>
  <si>
    <t>Find the average variance of adhesion strength to estimate the number of samples we'll need to find significant effects</t>
  </si>
  <si>
    <t>Adhesion Strength (lbs)</t>
  </si>
  <si>
    <t>Printing Temp (C)</t>
  </si>
  <si>
    <t>Making max ironing 2 b/c we don't need to capture the plateau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</si>
</sst>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Aptos Narrow"/>
      <family val="2"/>
      <scheme val="minor"/>
    </font>
    <font>
      <sz val="8"/>
      <name val="Aptos Narrow"/>
      <family val="2"/>
      <scheme val="minor"/>
    </font>
  </fonts>
  <fills count="4">
    <fill>
      <patternFill patternType="none"/>
    </fill>
    <fill>
      <patternFill patternType="gray125"/>
    </fill>
    <fill>
      <patternFill patternType="solid">
        <fgColor rgb="FFFF9999"/>
        <bgColor indexed="64"/>
      </patternFill>
    </fill>
    <fill>
      <patternFill patternType="solid">
        <fgColor theme="9" tint="0.7999816888943144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0" fillId="0" borderId="0" xfId="0" applyAlignment="1">
      <alignment horizontal="left"/>
    </xf>
    <xf numFmtId="0" fontId="0" fillId="0" borderId="0" xfId="0" applyAlignment="1">
      <alignment vertical="center"/>
    </xf>
    <xf numFmtId="2" fontId="0" fillId="0" borderId="0" xfId="0" applyNumberFormat="1"/>
    <xf numFmtId="9" fontId="0" fillId="0" borderId="0" xfId="1" applyFont="1"/>
    <xf numFmtId="0" fontId="0" fillId="2" borderId="0" xfId="0" applyFill="1"/>
    <xf numFmtId="2" fontId="0" fillId="2" borderId="0" xfId="0" applyNumberFormat="1" applyFill="1"/>
    <xf numFmtId="0" fontId="0" fillId="0" borderId="0" xfId="0" quotePrefix="1"/>
    <xf numFmtId="9" fontId="0" fillId="2" borderId="0" xfId="1" applyFont="1" applyFill="1"/>
    <xf numFmtId="0" fontId="0" fillId="0" borderId="0" xfId="0" quotePrefix="1" applyAlignment="1">
      <alignment horizontal="left"/>
    </xf>
    <xf numFmtId="9" fontId="0" fillId="0" borderId="0" xfId="1" applyFont="1" applyFill="1"/>
    <xf numFmtId="0" fontId="0" fillId="3" borderId="0" xfId="0" applyFill="1"/>
    <xf numFmtId="9" fontId="0" fillId="3" borderId="0" xfId="1" applyFont="1" applyFill="1"/>
    <xf numFmtId="0" fontId="0" fillId="0" borderId="0" xfId="0" applyAlignment="1">
      <alignment horizontal="center"/>
    </xf>
    <xf numFmtId="0" fontId="0" fillId="0" borderId="0" xfId="0" applyAlignment="1">
      <alignment horizontal="left" wrapText="1"/>
    </xf>
  </cellXfs>
  <cellStyles count="2">
    <cellStyle name="Normal" xfId="0" builtinId="0"/>
    <cellStyle name="Percent" xfId="1" builtinId="5"/>
  </cellStyles>
  <dxfs count="11">
    <dxf>
      <numFmt numFmtId="2" formatCode="0.00"/>
    </dxf>
    <dxf>
      <numFmt numFmtId="2" formatCode="0.00"/>
    </dxf>
    <dxf>
      <numFmt numFmtId="2" formatCode="0.0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2" formatCode="0.00"/>
    </dxf>
    <dxf>
      <numFmt numFmtId="2" formatCode="0.00"/>
    </dxf>
    <dxf>
      <numFmt numFmtId="2" formatCode="0.00"/>
    </dxf>
    <dxf>
      <alignment horizontal="general" vertical="center" textRotation="0" wrapText="0" indent="0" justifyLastLine="0" shrinkToFit="0" readingOrder="0"/>
    </dxf>
  </dxfs>
  <tableStyles count="0" defaultTableStyle="TableStyleMedium2" defaultPivotStyle="PivotStyleLight16"/>
  <colors>
    <mruColors>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C19C529-C5E7-4921-9FD7-046460CA6DC8}" name="Table2" displayName="Table2" ref="B4:H64" totalsRowShown="0">
  <autoFilter ref="B4:H64" xr:uid="{CC19C529-C5E7-4921-9FD7-046460CA6DC8}"/>
  <sortState xmlns:xlrd2="http://schemas.microsoft.com/office/spreadsheetml/2017/richdata2" ref="B59:H64">
    <sortCondition ref="D4:D64"/>
  </sortState>
  <tableColumns count="7">
    <tableColumn id="1" xr3:uid="{2F1C908E-4ED9-49F6-929F-4A8B13F107AC}" name="Run" dataDxfId="6"/>
    <tableColumn id="2" xr3:uid="{67FFC248-2D6B-4B39-BB6E-BAA76153EB88}" name="Tested Parameter" dataDxfId="5"/>
    <tableColumn id="3" xr3:uid="{948912DA-CFB9-49D0-96D6-83947780F536}" name="Mandrel"/>
    <tableColumn id="4" xr3:uid="{5D4D3EBA-DCC2-4D5D-B940-AF62B010F3DF}" name="Parameter Value"/>
    <tableColumn id="5" xr3:uid="{C47B78D1-1B22-443E-93C6-52F0B8665D5E}" name="Result"/>
    <tableColumn id="6" xr3:uid="{3D2E9ABF-1459-4FCE-81E7-5481BD338B2C}" name="Notes"/>
    <tableColumn id="7" xr3:uid="{6AD2E109-559E-4FE4-8DF4-91A603F905E0}" name="Notes For Runs"/>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247058-A42B-49F8-A7E8-9DB7FF13E159}" name="Table1" displayName="Table1" ref="B4:L34" totalsRowShown="0">
  <autoFilter ref="B4:L34" xr:uid="{49247058-A42B-49F8-A7E8-9DB7FF13E159}"/>
  <sortState xmlns:xlrd2="http://schemas.microsoft.com/office/spreadsheetml/2017/richdata2" ref="B23:L28">
    <sortCondition ref="D4:D28"/>
  </sortState>
  <tableColumns count="11">
    <tableColumn id="1" xr3:uid="{AA07CE71-CEE8-4D2E-A7A6-524809E3D8B0}" name="Run" dataDxfId="4"/>
    <tableColumn id="2" xr3:uid="{D0BF7365-2B46-4767-AA16-83B9F9B8A557}" name="Tested Parameter" dataDxfId="3"/>
    <tableColumn id="3" xr3:uid="{159046F7-ABED-44C5-853A-72ECA23396EB}" name="Mandrel"/>
    <tableColumn id="8" xr3:uid="{4873FC32-A47C-42E3-A084-6772CB58ACC9}" name="Printing Temp"/>
    <tableColumn id="9" xr3:uid="{268CB309-1E16-4D21-A057-9DF0462257FB}" name="Ironing"/>
    <tableColumn id="4" xr3:uid="{0EE2B19A-8AAC-4318-BFA9-3EC8A4B71038}" name="Printing Speed" dataDxfId="2"/>
    <tableColumn id="10" xr3:uid="{AF16D880-582E-4449-81EE-76943D9EBD15}" name="Z Offset" dataDxfId="1"/>
    <tableColumn id="11" xr3:uid="{4B653234-779B-4988-95F3-7EA19885B045}" name="Flow Multiplier" dataDxfId="0"/>
    <tableColumn id="5" xr3:uid="{A366DFA6-2635-4A9E-9FA1-E351AD74A9AD}" name="Result"/>
    <tableColumn id="6" xr3:uid="{DE7D39B6-D4B2-4DB4-9CB9-05B9B6DBF05C}" name="Notes"/>
    <tableColumn id="7" xr3:uid="{4D304149-9818-4983-82F0-6A71EBE75F2E}" name="Notes For Runs"/>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387BE5E-C0E7-4C76-9EA0-6E5342B4B4B4}" name="Table4" displayName="Table4" ref="B4:K10" totalsRowShown="0">
  <autoFilter ref="B4:K10" xr:uid="{3387BE5E-C0E7-4C76-9EA0-6E5342B4B4B4}"/>
  <tableColumns count="10">
    <tableColumn id="1" xr3:uid="{39372432-68AB-4CE7-8DB4-E531D3C92CD6}" name="Run" dataDxfId="10"/>
    <tableColumn id="3" xr3:uid="{7E4B1C11-A8F5-41EC-AFC5-F74C85CCD863}" name="Mandrel"/>
    <tableColumn id="4" xr3:uid="{F99BD4E2-9425-4DC4-9581-A56DB577EDD7}" name="Printing Temp (C)"/>
    <tableColumn id="5" xr3:uid="{0148AD17-6D8A-4B14-8C91-A8154EFDEAA2}" name="Ironing"/>
    <tableColumn id="6" xr3:uid="{7981B0E8-8726-4814-95A5-25C30372FA1D}" name="Printing Speed" dataDxfId="9"/>
    <tableColumn id="7" xr3:uid="{FE6CBE40-78C3-4E4C-8181-24F4B07B66A1}" name="Z Offset" dataDxfId="8"/>
    <tableColumn id="8" xr3:uid="{F0581E08-3028-4D27-909F-286AFE01129C}" name="Flow Multiplier" dataDxfId="7"/>
    <tableColumn id="9" xr3:uid="{22D81711-8D6A-40F4-98E9-5F4C7675DDFD}" name="Adhesion Strength (lbs)"/>
    <tableColumn id="10" xr3:uid="{D7F23CBD-5E3A-45EC-9A63-8AE7FACBC828}" name="Notes"/>
    <tableColumn id="11" xr3:uid="{87838DF6-CDCD-4BBD-98A0-92A8829FF2C8}" name="Notes For Runs"/>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EC059-D211-45A1-9813-F177306B7528}">
  <dimension ref="A1:Q64"/>
  <sheetViews>
    <sheetView topLeftCell="A52" workbookViewId="0">
      <selection activeCell="E53" sqref="E53"/>
    </sheetView>
  </sheetViews>
  <sheetFormatPr defaultRowHeight="14.4" x14ac:dyDescent="0.55000000000000004"/>
  <cols>
    <col min="1" max="1" width="12.9453125" bestFit="1" customWidth="1"/>
    <col min="2" max="2" width="6.3671875" customWidth="1"/>
    <col min="3" max="3" width="17.83984375" bestFit="1" customWidth="1"/>
    <col min="4" max="4" width="9.7890625" customWidth="1"/>
    <col min="5" max="5" width="16.7890625" bestFit="1" customWidth="1"/>
    <col min="6" max="6" width="8.47265625" customWidth="1"/>
    <col min="7" max="7" width="8.3125" customWidth="1"/>
    <col min="8" max="8" width="15.62890625" customWidth="1"/>
    <col min="10" max="10" width="15.5234375" bestFit="1" customWidth="1"/>
    <col min="11" max="11" width="10.83984375" bestFit="1" customWidth="1"/>
  </cols>
  <sheetData>
    <row r="1" spans="1:17" x14ac:dyDescent="0.55000000000000004">
      <c r="A1" t="s">
        <v>41</v>
      </c>
      <c r="B1" t="s">
        <v>40</v>
      </c>
    </row>
    <row r="2" spans="1:17" x14ac:dyDescent="0.55000000000000004">
      <c r="A2" t="s">
        <v>42</v>
      </c>
      <c r="B2" t="s">
        <v>43</v>
      </c>
    </row>
    <row r="4" spans="1:17" x14ac:dyDescent="0.55000000000000004">
      <c r="B4" t="s">
        <v>0</v>
      </c>
      <c r="C4" t="s">
        <v>1</v>
      </c>
      <c r="D4" t="s">
        <v>2</v>
      </c>
      <c r="E4" t="s">
        <v>6</v>
      </c>
      <c r="F4" t="s">
        <v>3</v>
      </c>
      <c r="G4" t="s">
        <v>4</v>
      </c>
      <c r="H4" t="s">
        <v>25</v>
      </c>
      <c r="J4" t="s">
        <v>7</v>
      </c>
      <c r="L4" s="13" t="s">
        <v>12</v>
      </c>
      <c r="M4" s="13"/>
      <c r="N4" s="13"/>
      <c r="O4" s="13"/>
      <c r="P4" s="13"/>
      <c r="Q4" t="s">
        <v>23</v>
      </c>
    </row>
    <row r="5" spans="1:17" x14ac:dyDescent="0.55000000000000004">
      <c r="B5" s="2">
        <v>1</v>
      </c>
      <c r="C5" s="2" t="s">
        <v>5</v>
      </c>
      <c r="D5">
        <v>1</v>
      </c>
      <c r="E5">
        <v>280</v>
      </c>
      <c r="F5" t="s">
        <v>17</v>
      </c>
      <c r="G5" t="s">
        <v>18</v>
      </c>
      <c r="H5" t="s">
        <v>27</v>
      </c>
      <c r="J5" s="1" cm="1">
        <f t="array" aca="1" ref="J5:J10" ca="1">_xlfn.SORTBY(_xlfn.SEQUENCE(6),_xlfn.RANDARRAY(6))</f>
        <v>6</v>
      </c>
      <c r="L5" t="s">
        <v>8</v>
      </c>
      <c r="M5" t="s">
        <v>15</v>
      </c>
      <c r="N5" t="s">
        <v>13</v>
      </c>
      <c r="O5" t="s">
        <v>14</v>
      </c>
      <c r="P5" t="s">
        <v>16</v>
      </c>
    </row>
    <row r="6" spans="1:17" x14ac:dyDescent="0.55000000000000004">
      <c r="B6" s="2">
        <v>1</v>
      </c>
      <c r="C6" s="2" t="s">
        <v>5</v>
      </c>
      <c r="D6">
        <v>2</v>
      </c>
      <c r="E6">
        <v>256</v>
      </c>
      <c r="F6" t="s">
        <v>17</v>
      </c>
      <c r="H6" t="s">
        <v>24</v>
      </c>
      <c r="J6" s="1">
        <f ca="1"/>
        <v>1</v>
      </c>
      <c r="K6" t="s">
        <v>9</v>
      </c>
      <c r="L6" s="5">
        <v>210</v>
      </c>
      <c r="M6" s="5">
        <v>0</v>
      </c>
      <c r="N6" s="3">
        <v>0.2</v>
      </c>
      <c r="O6" s="3">
        <v>0</v>
      </c>
      <c r="P6" s="8">
        <v>1.5</v>
      </c>
    </row>
    <row r="7" spans="1:17" x14ac:dyDescent="0.55000000000000004">
      <c r="B7" s="2">
        <v>1</v>
      </c>
      <c r="C7" s="2" t="s">
        <v>5</v>
      </c>
      <c r="D7">
        <v>3</v>
      </c>
      <c r="E7">
        <v>232</v>
      </c>
      <c r="F7" t="s">
        <v>17</v>
      </c>
      <c r="H7" t="s">
        <v>24</v>
      </c>
      <c r="J7" s="1">
        <f ca="1"/>
        <v>4</v>
      </c>
      <c r="K7" t="s">
        <v>10</v>
      </c>
      <c r="L7">
        <v>280</v>
      </c>
      <c r="M7">
        <v>3</v>
      </c>
      <c r="N7" s="6">
        <v>2</v>
      </c>
      <c r="O7" s="6">
        <v>0.48</v>
      </c>
      <c r="P7" s="4">
        <v>2</v>
      </c>
    </row>
    <row r="8" spans="1:17" x14ac:dyDescent="0.55000000000000004">
      <c r="B8" s="2">
        <v>1</v>
      </c>
      <c r="C8" s="2" t="s">
        <v>5</v>
      </c>
      <c r="D8">
        <v>4</v>
      </c>
      <c r="E8">
        <v>244</v>
      </c>
      <c r="F8" t="s">
        <v>17</v>
      </c>
      <c r="H8" t="s">
        <v>24</v>
      </c>
      <c r="J8" s="1">
        <f ca="1"/>
        <v>2</v>
      </c>
      <c r="K8" t="s">
        <v>11</v>
      </c>
      <c r="L8">
        <f>AVERAGE(L6:L7)</f>
        <v>245</v>
      </c>
      <c r="M8">
        <f t="shared" ref="M8:P8" si="0">AVERAGE(M6:M7)</f>
        <v>1.5</v>
      </c>
      <c r="N8">
        <f t="shared" si="0"/>
        <v>1.1000000000000001</v>
      </c>
      <c r="O8">
        <f t="shared" si="0"/>
        <v>0.24</v>
      </c>
      <c r="P8">
        <f t="shared" si="0"/>
        <v>1.75</v>
      </c>
    </row>
    <row r="9" spans="1:17" x14ac:dyDescent="0.55000000000000004">
      <c r="B9" s="2">
        <v>1</v>
      </c>
      <c r="C9" s="2" t="s">
        <v>5</v>
      </c>
      <c r="D9">
        <v>5</v>
      </c>
      <c r="E9">
        <v>268</v>
      </c>
      <c r="F9" t="s">
        <v>17</v>
      </c>
      <c r="H9" t="s">
        <v>24</v>
      </c>
      <c r="I9" t="s">
        <v>24</v>
      </c>
      <c r="J9" s="1">
        <f ca="1"/>
        <v>5</v>
      </c>
    </row>
    <row r="10" spans="1:17" x14ac:dyDescent="0.55000000000000004">
      <c r="B10" s="2">
        <v>1</v>
      </c>
      <c r="C10" s="2" t="s">
        <v>5</v>
      </c>
      <c r="D10">
        <v>6</v>
      </c>
      <c r="E10">
        <v>220</v>
      </c>
      <c r="F10" t="s">
        <v>17</v>
      </c>
      <c r="H10" t="s">
        <v>24</v>
      </c>
      <c r="J10" s="1">
        <f ca="1"/>
        <v>3</v>
      </c>
    </row>
    <row r="11" spans="1:17" x14ac:dyDescent="0.55000000000000004">
      <c r="B11" s="2">
        <v>2</v>
      </c>
      <c r="C11" s="2" t="s">
        <v>5</v>
      </c>
      <c r="D11">
        <v>1</v>
      </c>
      <c r="E11">
        <v>200</v>
      </c>
      <c r="F11" t="s">
        <v>17</v>
      </c>
      <c r="G11" t="s">
        <v>20</v>
      </c>
      <c r="H11" t="s">
        <v>28</v>
      </c>
    </row>
    <row r="12" spans="1:17" x14ac:dyDescent="0.55000000000000004">
      <c r="B12" s="2">
        <v>2</v>
      </c>
      <c r="C12" s="2" t="s">
        <v>5</v>
      </c>
      <c r="D12">
        <v>2</v>
      </c>
      <c r="E12">
        <v>210</v>
      </c>
      <c r="F12" t="s">
        <v>17</v>
      </c>
      <c r="G12" t="s">
        <v>20</v>
      </c>
      <c r="H12" t="s">
        <v>24</v>
      </c>
    </row>
    <row r="13" spans="1:17" x14ac:dyDescent="0.55000000000000004">
      <c r="B13" s="2">
        <v>2</v>
      </c>
      <c r="C13" s="2" t="s">
        <v>5</v>
      </c>
      <c r="D13">
        <v>3</v>
      </c>
      <c r="E13">
        <v>210</v>
      </c>
      <c r="F13" t="s">
        <v>17</v>
      </c>
      <c r="G13" t="s">
        <v>20</v>
      </c>
      <c r="H13" t="s">
        <v>24</v>
      </c>
    </row>
    <row r="14" spans="1:17" x14ac:dyDescent="0.55000000000000004">
      <c r="B14" s="2">
        <v>2</v>
      </c>
      <c r="C14" s="2" t="s">
        <v>5</v>
      </c>
      <c r="D14">
        <v>4</v>
      </c>
      <c r="E14">
        <v>190</v>
      </c>
      <c r="F14" t="s">
        <v>21</v>
      </c>
      <c r="G14" t="s">
        <v>19</v>
      </c>
      <c r="H14" t="s">
        <v>24</v>
      </c>
    </row>
    <row r="15" spans="1:17" x14ac:dyDescent="0.55000000000000004">
      <c r="B15" s="2">
        <v>2</v>
      </c>
      <c r="C15" s="2" t="s">
        <v>5</v>
      </c>
      <c r="D15">
        <v>5</v>
      </c>
      <c r="E15">
        <v>190</v>
      </c>
      <c r="F15" t="s">
        <v>21</v>
      </c>
      <c r="G15" t="s">
        <v>19</v>
      </c>
      <c r="H15" t="s">
        <v>24</v>
      </c>
    </row>
    <row r="16" spans="1:17" x14ac:dyDescent="0.55000000000000004">
      <c r="B16" s="2">
        <v>2</v>
      </c>
      <c r="C16" s="2" t="s">
        <v>5</v>
      </c>
      <c r="D16">
        <v>6</v>
      </c>
      <c r="E16">
        <v>200</v>
      </c>
      <c r="F16" t="s">
        <v>17</v>
      </c>
      <c r="H16" t="s">
        <v>24</v>
      </c>
    </row>
    <row r="17" spans="2:8" x14ac:dyDescent="0.55000000000000004">
      <c r="B17" s="2">
        <v>3</v>
      </c>
      <c r="C17" s="2" t="s">
        <v>22</v>
      </c>
      <c r="D17">
        <v>1</v>
      </c>
      <c r="E17">
        <v>0</v>
      </c>
      <c r="F17" t="s">
        <v>21</v>
      </c>
      <c r="H17" t="s">
        <v>26</v>
      </c>
    </row>
    <row r="18" spans="2:8" x14ac:dyDescent="0.55000000000000004">
      <c r="B18" s="2">
        <v>3</v>
      </c>
      <c r="C18" s="2" t="s">
        <v>22</v>
      </c>
      <c r="D18">
        <v>2</v>
      </c>
      <c r="E18">
        <v>2</v>
      </c>
      <c r="F18" t="s">
        <v>17</v>
      </c>
      <c r="G18" t="s">
        <v>20</v>
      </c>
      <c r="H18" t="s">
        <v>24</v>
      </c>
    </row>
    <row r="19" spans="2:8" x14ac:dyDescent="0.55000000000000004">
      <c r="B19" s="2">
        <v>3</v>
      </c>
      <c r="C19" s="2" t="s">
        <v>22</v>
      </c>
      <c r="D19">
        <v>3</v>
      </c>
      <c r="E19">
        <v>0</v>
      </c>
      <c r="F19" t="s">
        <v>21</v>
      </c>
      <c r="H19" t="s">
        <v>24</v>
      </c>
    </row>
    <row r="20" spans="2:8" x14ac:dyDescent="0.55000000000000004">
      <c r="B20" s="2">
        <v>3</v>
      </c>
      <c r="C20" s="2" t="s">
        <v>22</v>
      </c>
      <c r="D20">
        <v>4</v>
      </c>
      <c r="E20">
        <v>1</v>
      </c>
      <c r="F20" t="s">
        <v>17</v>
      </c>
      <c r="G20" t="s">
        <v>20</v>
      </c>
      <c r="H20" t="s">
        <v>24</v>
      </c>
    </row>
    <row r="21" spans="2:8" x14ac:dyDescent="0.55000000000000004">
      <c r="B21" s="2">
        <v>3</v>
      </c>
      <c r="C21" s="2" t="s">
        <v>22</v>
      </c>
      <c r="D21">
        <v>5</v>
      </c>
      <c r="E21">
        <v>1</v>
      </c>
      <c r="F21" t="s">
        <v>21</v>
      </c>
      <c r="H21" t="s">
        <v>24</v>
      </c>
    </row>
    <row r="22" spans="2:8" x14ac:dyDescent="0.55000000000000004">
      <c r="B22" s="2">
        <v>3</v>
      </c>
      <c r="C22" s="2" t="s">
        <v>22</v>
      </c>
      <c r="D22">
        <v>6</v>
      </c>
      <c r="E22">
        <v>3</v>
      </c>
      <c r="F22" t="s">
        <v>17</v>
      </c>
      <c r="G22" t="s">
        <v>20</v>
      </c>
      <c r="H22" t="s">
        <v>24</v>
      </c>
    </row>
    <row r="23" spans="2:8" x14ac:dyDescent="0.55000000000000004">
      <c r="B23" s="2">
        <v>4</v>
      </c>
      <c r="C23" s="2" t="s">
        <v>22</v>
      </c>
      <c r="D23">
        <v>1</v>
      </c>
      <c r="E23">
        <v>2</v>
      </c>
      <c r="F23" t="s">
        <v>17</v>
      </c>
      <c r="H23" t="s">
        <v>30</v>
      </c>
    </row>
    <row r="24" spans="2:8" x14ac:dyDescent="0.55000000000000004">
      <c r="B24" s="2">
        <v>4</v>
      </c>
      <c r="C24" s="2" t="s">
        <v>22</v>
      </c>
      <c r="D24">
        <v>2</v>
      </c>
      <c r="E24">
        <v>0</v>
      </c>
      <c r="F24" t="s">
        <v>17</v>
      </c>
      <c r="H24" t="s">
        <v>24</v>
      </c>
    </row>
    <row r="25" spans="2:8" x14ac:dyDescent="0.55000000000000004">
      <c r="B25" s="2">
        <v>4</v>
      </c>
      <c r="C25" s="2" t="s">
        <v>22</v>
      </c>
      <c r="D25">
        <v>3</v>
      </c>
      <c r="E25">
        <v>3</v>
      </c>
      <c r="F25" t="s">
        <v>17</v>
      </c>
      <c r="H25" t="s">
        <v>24</v>
      </c>
    </row>
    <row r="26" spans="2:8" x14ac:dyDescent="0.55000000000000004">
      <c r="B26" s="2">
        <v>4</v>
      </c>
      <c r="C26" s="2" t="s">
        <v>22</v>
      </c>
      <c r="D26">
        <v>4</v>
      </c>
      <c r="E26">
        <v>1</v>
      </c>
      <c r="F26" t="s">
        <v>17</v>
      </c>
      <c r="H26" t="s">
        <v>24</v>
      </c>
    </row>
    <row r="27" spans="2:8" x14ac:dyDescent="0.55000000000000004">
      <c r="B27" s="2">
        <v>4</v>
      </c>
      <c r="C27" s="2" t="s">
        <v>22</v>
      </c>
      <c r="D27">
        <v>5</v>
      </c>
      <c r="E27">
        <v>1</v>
      </c>
      <c r="F27" t="s">
        <v>17</v>
      </c>
      <c r="H27" t="s">
        <v>24</v>
      </c>
    </row>
    <row r="28" spans="2:8" x14ac:dyDescent="0.55000000000000004">
      <c r="B28" s="2">
        <v>4</v>
      </c>
      <c r="C28" s="2" t="s">
        <v>22</v>
      </c>
      <c r="D28">
        <v>6</v>
      </c>
      <c r="E28">
        <v>0</v>
      </c>
      <c r="F28" t="s">
        <v>17</v>
      </c>
      <c r="G28" t="s">
        <v>20</v>
      </c>
      <c r="H28" t="s">
        <v>24</v>
      </c>
    </row>
    <row r="29" spans="2:8" x14ac:dyDescent="0.55000000000000004">
      <c r="B29" s="2">
        <v>5</v>
      </c>
      <c r="C29" s="2" t="s">
        <v>29</v>
      </c>
      <c r="D29">
        <v>1</v>
      </c>
      <c r="E29">
        <v>0.46</v>
      </c>
      <c r="F29" t="s">
        <v>17</v>
      </c>
      <c r="H29" t="s">
        <v>31</v>
      </c>
    </row>
    <row r="30" spans="2:8" x14ac:dyDescent="0.55000000000000004">
      <c r="B30" s="2">
        <v>5</v>
      </c>
      <c r="C30" s="2" t="s">
        <v>29</v>
      </c>
      <c r="D30">
        <v>2</v>
      </c>
      <c r="E30">
        <v>0.2</v>
      </c>
      <c r="F30" t="s">
        <v>17</v>
      </c>
    </row>
    <row r="31" spans="2:8" x14ac:dyDescent="0.55000000000000004">
      <c r="B31" s="2">
        <v>5</v>
      </c>
      <c r="C31" s="2" t="s">
        <v>29</v>
      </c>
      <c r="D31">
        <v>3</v>
      </c>
      <c r="E31">
        <v>1.24</v>
      </c>
      <c r="F31" t="s">
        <v>17</v>
      </c>
    </row>
    <row r="32" spans="2:8" x14ac:dyDescent="0.55000000000000004">
      <c r="B32" s="2">
        <v>5</v>
      </c>
      <c r="C32" s="2" t="s">
        <v>29</v>
      </c>
      <c r="D32">
        <v>4</v>
      </c>
      <c r="E32">
        <v>0.72</v>
      </c>
      <c r="F32" t="s">
        <v>17</v>
      </c>
    </row>
    <row r="33" spans="2:12" x14ac:dyDescent="0.55000000000000004">
      <c r="B33" s="2">
        <v>5</v>
      </c>
      <c r="C33" s="2" t="s">
        <v>29</v>
      </c>
      <c r="D33">
        <v>5</v>
      </c>
      <c r="E33">
        <v>1.5</v>
      </c>
      <c r="F33" t="s">
        <v>17</v>
      </c>
    </row>
    <row r="34" spans="2:12" x14ac:dyDescent="0.55000000000000004">
      <c r="B34" s="2">
        <v>5</v>
      </c>
      <c r="C34" s="2" t="s">
        <v>29</v>
      </c>
      <c r="D34">
        <v>6</v>
      </c>
      <c r="E34">
        <v>0.98</v>
      </c>
      <c r="F34" t="s">
        <v>17</v>
      </c>
    </row>
    <row r="35" spans="2:12" x14ac:dyDescent="0.55000000000000004">
      <c r="B35" s="2">
        <v>6</v>
      </c>
      <c r="C35" s="2" t="s">
        <v>29</v>
      </c>
      <c r="D35">
        <v>1</v>
      </c>
      <c r="E35">
        <v>1.6</v>
      </c>
      <c r="F35" t="s">
        <v>17</v>
      </c>
      <c r="H35" t="s">
        <v>32</v>
      </c>
    </row>
    <row r="36" spans="2:12" x14ac:dyDescent="0.55000000000000004">
      <c r="B36" s="2">
        <v>6</v>
      </c>
      <c r="C36" s="2" t="s">
        <v>29</v>
      </c>
      <c r="D36">
        <v>2</v>
      </c>
      <c r="E36">
        <v>1.7</v>
      </c>
      <c r="F36" t="s">
        <v>17</v>
      </c>
      <c r="H36" t="s">
        <v>24</v>
      </c>
    </row>
    <row r="37" spans="2:12" x14ac:dyDescent="0.55000000000000004">
      <c r="B37" s="2">
        <v>6</v>
      </c>
      <c r="C37" s="2" t="s">
        <v>29</v>
      </c>
      <c r="D37">
        <v>3</v>
      </c>
      <c r="E37">
        <v>1.9</v>
      </c>
      <c r="F37" t="s">
        <v>17</v>
      </c>
      <c r="G37" t="s">
        <v>20</v>
      </c>
      <c r="H37" t="s">
        <v>24</v>
      </c>
    </row>
    <row r="38" spans="2:12" x14ac:dyDescent="0.55000000000000004">
      <c r="B38" s="2">
        <v>6</v>
      </c>
      <c r="C38" s="2" t="s">
        <v>29</v>
      </c>
      <c r="D38">
        <v>4</v>
      </c>
      <c r="E38">
        <v>2</v>
      </c>
      <c r="F38" t="s">
        <v>17</v>
      </c>
      <c r="G38" t="s">
        <v>20</v>
      </c>
      <c r="H38" t="s">
        <v>24</v>
      </c>
    </row>
    <row r="39" spans="2:12" x14ac:dyDescent="0.55000000000000004">
      <c r="B39" s="2">
        <v>6</v>
      </c>
      <c r="C39" s="2" t="s">
        <v>29</v>
      </c>
      <c r="D39">
        <v>5</v>
      </c>
      <c r="E39">
        <v>1.8</v>
      </c>
      <c r="F39" t="s">
        <v>17</v>
      </c>
      <c r="G39" t="s">
        <v>20</v>
      </c>
      <c r="H39" t="s">
        <v>24</v>
      </c>
    </row>
    <row r="40" spans="2:12" x14ac:dyDescent="0.55000000000000004">
      <c r="B40" s="2">
        <v>6</v>
      </c>
      <c r="C40" s="2" t="s">
        <v>29</v>
      </c>
      <c r="D40">
        <v>6</v>
      </c>
      <c r="E40">
        <v>1.5</v>
      </c>
      <c r="F40" t="s">
        <v>17</v>
      </c>
      <c r="H40" t="s">
        <v>24</v>
      </c>
    </row>
    <row r="41" spans="2:12" x14ac:dyDescent="0.55000000000000004">
      <c r="B41" s="2">
        <v>7</v>
      </c>
      <c r="C41" s="2" t="s">
        <v>14</v>
      </c>
      <c r="D41">
        <v>1</v>
      </c>
      <c r="E41">
        <v>0.64</v>
      </c>
      <c r="F41" t="s">
        <v>21</v>
      </c>
      <c r="H41" t="s">
        <v>33</v>
      </c>
    </row>
    <row r="42" spans="2:12" x14ac:dyDescent="0.55000000000000004">
      <c r="B42" s="2">
        <v>7</v>
      </c>
      <c r="C42" s="2" t="s">
        <v>14</v>
      </c>
      <c r="D42">
        <v>2</v>
      </c>
      <c r="E42">
        <v>0</v>
      </c>
      <c r="F42" t="s">
        <v>17</v>
      </c>
      <c r="H42" t="s">
        <v>24</v>
      </c>
      <c r="L42" t="s">
        <v>24</v>
      </c>
    </row>
    <row r="43" spans="2:12" x14ac:dyDescent="0.55000000000000004">
      <c r="B43" s="2">
        <v>7</v>
      </c>
      <c r="C43" s="2" t="s">
        <v>14</v>
      </c>
      <c r="D43">
        <v>3</v>
      </c>
      <c r="E43">
        <v>0.32</v>
      </c>
      <c r="F43" t="s">
        <v>17</v>
      </c>
      <c r="H43" t="s">
        <v>24</v>
      </c>
    </row>
    <row r="44" spans="2:12" x14ac:dyDescent="0.55000000000000004">
      <c r="B44" s="2">
        <v>7</v>
      </c>
      <c r="C44" s="2" t="s">
        <v>14</v>
      </c>
      <c r="D44">
        <v>4</v>
      </c>
      <c r="E44">
        <v>0.48</v>
      </c>
      <c r="F44" t="s">
        <v>17</v>
      </c>
      <c r="G44" t="s">
        <v>20</v>
      </c>
      <c r="H44" t="s">
        <v>24</v>
      </c>
    </row>
    <row r="45" spans="2:12" x14ac:dyDescent="0.55000000000000004">
      <c r="B45" s="2">
        <v>7</v>
      </c>
      <c r="C45" s="2" t="s">
        <v>14</v>
      </c>
      <c r="D45">
        <v>5</v>
      </c>
      <c r="E45">
        <v>0.16</v>
      </c>
      <c r="F45" t="s">
        <v>17</v>
      </c>
      <c r="H45" t="s">
        <v>24</v>
      </c>
    </row>
    <row r="46" spans="2:12" x14ac:dyDescent="0.55000000000000004">
      <c r="B46" s="2">
        <v>7</v>
      </c>
      <c r="C46" s="2" t="s">
        <v>14</v>
      </c>
      <c r="D46">
        <v>6</v>
      </c>
      <c r="E46">
        <v>0.8</v>
      </c>
      <c r="F46" t="s">
        <v>21</v>
      </c>
      <c r="H46" t="s">
        <v>24</v>
      </c>
    </row>
    <row r="47" spans="2:12" x14ac:dyDescent="0.55000000000000004">
      <c r="B47" s="2">
        <v>8</v>
      </c>
      <c r="C47" s="2" t="s">
        <v>14</v>
      </c>
      <c r="D47">
        <v>1</v>
      </c>
      <c r="E47">
        <v>0</v>
      </c>
      <c r="F47" t="s">
        <v>17</v>
      </c>
      <c r="H47" t="s">
        <v>36</v>
      </c>
    </row>
    <row r="48" spans="2:12" x14ac:dyDescent="0.55000000000000004">
      <c r="B48" s="2">
        <v>8</v>
      </c>
      <c r="C48" s="2" t="s">
        <v>14</v>
      </c>
      <c r="D48">
        <v>2</v>
      </c>
      <c r="E48">
        <v>-0.06</v>
      </c>
      <c r="F48" t="s">
        <v>17</v>
      </c>
      <c r="G48" t="s">
        <v>35</v>
      </c>
      <c r="H48" t="s">
        <v>24</v>
      </c>
    </row>
    <row r="49" spans="2:8" x14ac:dyDescent="0.55000000000000004">
      <c r="B49" s="2">
        <v>8</v>
      </c>
      <c r="C49" s="2" t="s">
        <v>14</v>
      </c>
      <c r="D49">
        <v>3</v>
      </c>
      <c r="E49">
        <v>-0.24</v>
      </c>
      <c r="F49" t="s">
        <v>17</v>
      </c>
      <c r="G49" s="7" t="s">
        <v>34</v>
      </c>
      <c r="H49" t="s">
        <v>24</v>
      </c>
    </row>
    <row r="50" spans="2:8" x14ac:dyDescent="0.55000000000000004">
      <c r="B50" s="2">
        <v>8</v>
      </c>
      <c r="C50" s="2" t="s">
        <v>14</v>
      </c>
      <c r="D50">
        <v>4</v>
      </c>
      <c r="E50">
        <v>-0.3</v>
      </c>
      <c r="F50" t="s">
        <v>17</v>
      </c>
      <c r="G50" s="7" t="s">
        <v>34</v>
      </c>
      <c r="H50" t="s">
        <v>24</v>
      </c>
    </row>
    <row r="51" spans="2:8" x14ac:dyDescent="0.55000000000000004">
      <c r="B51" s="2">
        <v>8</v>
      </c>
      <c r="C51" s="2" t="s">
        <v>14</v>
      </c>
      <c r="D51">
        <v>5</v>
      </c>
      <c r="E51">
        <v>-0.12</v>
      </c>
      <c r="F51" t="s">
        <v>17</v>
      </c>
      <c r="G51" s="7" t="s">
        <v>34</v>
      </c>
      <c r="H51" t="s">
        <v>24</v>
      </c>
    </row>
    <row r="52" spans="2:8" x14ac:dyDescent="0.55000000000000004">
      <c r="B52" s="2">
        <v>8</v>
      </c>
      <c r="C52" s="2" t="s">
        <v>14</v>
      </c>
      <c r="D52">
        <v>6</v>
      </c>
      <c r="E52">
        <v>-0.18</v>
      </c>
      <c r="F52" t="s">
        <v>17</v>
      </c>
      <c r="G52" s="7" t="s">
        <v>34</v>
      </c>
      <c r="H52" t="s">
        <v>24</v>
      </c>
    </row>
    <row r="53" spans="2:8" x14ac:dyDescent="0.55000000000000004">
      <c r="B53" s="2">
        <v>9</v>
      </c>
      <c r="C53" s="2" t="s">
        <v>37</v>
      </c>
      <c r="D53">
        <v>1</v>
      </c>
      <c r="E53">
        <v>1.2</v>
      </c>
      <c r="F53" t="s">
        <v>21</v>
      </c>
      <c r="H53" t="s">
        <v>38</v>
      </c>
    </row>
    <row r="54" spans="2:8" x14ac:dyDescent="0.55000000000000004">
      <c r="B54" s="2">
        <v>9</v>
      </c>
      <c r="C54" s="2" t="s">
        <v>37</v>
      </c>
      <c r="D54">
        <v>2</v>
      </c>
      <c r="E54">
        <v>1.8</v>
      </c>
      <c r="F54" t="s">
        <v>17</v>
      </c>
    </row>
    <row r="55" spans="2:8" x14ac:dyDescent="0.55000000000000004">
      <c r="B55" s="2">
        <v>9</v>
      </c>
      <c r="C55" s="2" t="s">
        <v>37</v>
      </c>
      <c r="D55">
        <v>3</v>
      </c>
      <c r="E55">
        <v>2</v>
      </c>
      <c r="F55" t="s">
        <v>17</v>
      </c>
      <c r="G55" t="s">
        <v>20</v>
      </c>
      <c r="H55" t="s">
        <v>24</v>
      </c>
    </row>
    <row r="56" spans="2:8" x14ac:dyDescent="0.55000000000000004">
      <c r="B56" s="2">
        <v>9</v>
      </c>
      <c r="C56" s="2" t="s">
        <v>37</v>
      </c>
      <c r="D56">
        <v>4</v>
      </c>
      <c r="E56">
        <v>1</v>
      </c>
      <c r="F56" t="s">
        <v>21</v>
      </c>
      <c r="H56" t="s">
        <v>24</v>
      </c>
    </row>
    <row r="57" spans="2:8" x14ac:dyDescent="0.55000000000000004">
      <c r="B57" s="2">
        <v>9</v>
      </c>
      <c r="C57" s="2" t="s">
        <v>37</v>
      </c>
      <c r="D57">
        <v>5</v>
      </c>
      <c r="E57">
        <v>1.4</v>
      </c>
      <c r="F57" t="s">
        <v>21</v>
      </c>
      <c r="H57" t="s">
        <v>24</v>
      </c>
    </row>
    <row r="58" spans="2:8" x14ac:dyDescent="0.55000000000000004">
      <c r="B58" s="2">
        <v>9</v>
      </c>
      <c r="C58" s="2" t="s">
        <v>37</v>
      </c>
      <c r="D58">
        <v>6</v>
      </c>
      <c r="E58">
        <v>1.6</v>
      </c>
      <c r="F58" t="s">
        <v>17</v>
      </c>
      <c r="H58" t="s">
        <v>24</v>
      </c>
    </row>
    <row r="59" spans="2:8" x14ac:dyDescent="0.55000000000000004">
      <c r="B59" s="2">
        <v>10</v>
      </c>
      <c r="C59" s="2" t="s">
        <v>5</v>
      </c>
      <c r="D59">
        <v>1</v>
      </c>
      <c r="E59">
        <v>252</v>
      </c>
      <c r="F59" t="s">
        <v>17</v>
      </c>
      <c r="G59" t="s">
        <v>39</v>
      </c>
      <c r="H59" t="s">
        <v>24</v>
      </c>
    </row>
    <row r="60" spans="2:8" x14ac:dyDescent="0.55000000000000004">
      <c r="B60" s="2">
        <v>10</v>
      </c>
      <c r="C60" s="2" t="s">
        <v>5</v>
      </c>
      <c r="D60">
        <v>2</v>
      </c>
      <c r="E60">
        <v>280</v>
      </c>
      <c r="F60" t="s">
        <v>17</v>
      </c>
      <c r="G60" t="s">
        <v>20</v>
      </c>
      <c r="H60" t="s">
        <v>24</v>
      </c>
    </row>
    <row r="61" spans="2:8" x14ac:dyDescent="0.55000000000000004">
      <c r="B61" s="2">
        <v>10</v>
      </c>
      <c r="C61" s="2" t="s">
        <v>5</v>
      </c>
      <c r="D61">
        <v>3</v>
      </c>
      <c r="E61">
        <v>238</v>
      </c>
      <c r="F61" t="s">
        <v>17</v>
      </c>
      <c r="G61" t="s">
        <v>39</v>
      </c>
      <c r="H61" t="s">
        <v>24</v>
      </c>
    </row>
    <row r="62" spans="2:8" x14ac:dyDescent="0.55000000000000004">
      <c r="B62" s="2">
        <v>10</v>
      </c>
      <c r="C62" s="2" t="s">
        <v>5</v>
      </c>
      <c r="D62">
        <v>4</v>
      </c>
      <c r="E62">
        <v>266</v>
      </c>
      <c r="F62" t="s">
        <v>17</v>
      </c>
      <c r="G62" t="s">
        <v>39</v>
      </c>
      <c r="H62" t="s">
        <v>24</v>
      </c>
    </row>
    <row r="63" spans="2:8" x14ac:dyDescent="0.55000000000000004">
      <c r="B63" s="2">
        <v>10</v>
      </c>
      <c r="C63" s="2" t="s">
        <v>5</v>
      </c>
      <c r="D63">
        <v>5</v>
      </c>
      <c r="E63">
        <v>210</v>
      </c>
      <c r="F63" t="s">
        <v>21</v>
      </c>
      <c r="H63" t="s">
        <v>24</v>
      </c>
    </row>
    <row r="64" spans="2:8" x14ac:dyDescent="0.55000000000000004">
      <c r="B64" s="2">
        <v>10</v>
      </c>
      <c r="C64" s="2" t="s">
        <v>5</v>
      </c>
      <c r="D64">
        <v>6</v>
      </c>
      <c r="E64">
        <v>224</v>
      </c>
      <c r="F64" t="s">
        <v>17</v>
      </c>
      <c r="G64" t="s">
        <v>39</v>
      </c>
      <c r="H64" t="s">
        <v>24</v>
      </c>
    </row>
  </sheetData>
  <mergeCells count="1">
    <mergeCell ref="L4:P4"/>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9AFE7-CDD6-4F0E-8590-A80B1C2DCF1B}">
  <dimension ref="A1:U34"/>
  <sheetViews>
    <sheetView tabSelected="1" topLeftCell="I3" zoomScale="115" zoomScaleNormal="115" workbookViewId="0">
      <selection activeCell="R10" sqref="R10"/>
    </sheetView>
  </sheetViews>
  <sheetFormatPr defaultRowHeight="14.4" x14ac:dyDescent="0.55000000000000004"/>
  <cols>
    <col min="1" max="1" width="15.89453125" bestFit="1" customWidth="1"/>
    <col min="2" max="2" width="6" bestFit="1" customWidth="1"/>
    <col min="3" max="3" width="17.20703125" bestFit="1" customWidth="1"/>
    <col min="4" max="4" width="9.47265625" bestFit="1" customWidth="1"/>
    <col min="5" max="5" width="13.9453125" bestFit="1" customWidth="1"/>
    <col min="6" max="6" width="8.41796875" bestFit="1" customWidth="1"/>
    <col min="7" max="7" width="14.578125" style="3" bestFit="1" customWidth="1"/>
    <col min="8" max="8" width="9.15625" style="3" bestFit="1" customWidth="1"/>
    <col min="9" max="9" width="14.7890625" style="3" bestFit="1" customWidth="1"/>
    <col min="10" max="10" width="9.26171875" bestFit="1" customWidth="1"/>
    <col min="11" max="11" width="7.68359375" bestFit="1" customWidth="1"/>
    <col min="12" max="12" width="15.05078125" bestFit="1" customWidth="1"/>
    <col min="15" max="15" width="11.26171875" bestFit="1" customWidth="1"/>
  </cols>
  <sheetData>
    <row r="1" spans="1:21" ht="14.7" customHeight="1" x14ac:dyDescent="0.55000000000000004">
      <c r="A1" t="s">
        <v>41</v>
      </c>
      <c r="B1" s="14" t="s">
        <v>45</v>
      </c>
      <c r="C1" s="14"/>
      <c r="D1" s="14"/>
      <c r="E1" s="14"/>
      <c r="F1" s="14"/>
      <c r="G1" s="14"/>
      <c r="H1" s="14"/>
      <c r="I1" s="14"/>
      <c r="J1" s="14"/>
      <c r="K1" s="14"/>
      <c r="L1" s="14"/>
    </row>
    <row r="2" spans="1:21" ht="72" customHeight="1" x14ac:dyDescent="0.55000000000000004">
      <c r="A2" t="s">
        <v>46</v>
      </c>
      <c r="B2" s="14" t="s">
        <v>50</v>
      </c>
      <c r="C2" s="14"/>
      <c r="D2" s="14"/>
      <c r="E2" s="14"/>
      <c r="F2" s="14"/>
      <c r="G2" s="14"/>
      <c r="H2" s="14"/>
      <c r="I2" s="14"/>
      <c r="J2" s="14"/>
      <c r="K2" s="14"/>
      <c r="L2" s="14"/>
    </row>
    <row r="3" spans="1:21" ht="58.5" customHeight="1" x14ac:dyDescent="0.55000000000000004">
      <c r="A3" t="s">
        <v>42</v>
      </c>
      <c r="B3" s="14" t="s">
        <v>44</v>
      </c>
      <c r="C3" s="14"/>
      <c r="D3" s="14"/>
      <c r="E3" s="14"/>
      <c r="F3" s="14"/>
      <c r="G3" s="14"/>
      <c r="H3" s="14"/>
      <c r="I3" s="14"/>
      <c r="J3" s="14"/>
      <c r="K3" s="14"/>
      <c r="L3" s="14"/>
    </row>
    <row r="4" spans="1:21" x14ac:dyDescent="0.55000000000000004">
      <c r="B4" t="s">
        <v>0</v>
      </c>
      <c r="C4" t="s">
        <v>1</v>
      </c>
      <c r="D4" t="s">
        <v>2</v>
      </c>
      <c r="E4" t="s">
        <v>48</v>
      </c>
      <c r="F4" t="s">
        <v>15</v>
      </c>
      <c r="G4" t="s">
        <v>49</v>
      </c>
      <c r="H4" t="s">
        <v>14</v>
      </c>
      <c r="I4" t="s">
        <v>37</v>
      </c>
      <c r="J4" t="s">
        <v>3</v>
      </c>
      <c r="K4" t="s">
        <v>4</v>
      </c>
      <c r="L4" t="s">
        <v>25</v>
      </c>
      <c r="N4" t="s">
        <v>7</v>
      </c>
      <c r="P4" s="13" t="s">
        <v>47</v>
      </c>
      <c r="Q4" s="13"/>
      <c r="R4" s="13"/>
      <c r="S4" s="13"/>
      <c r="T4" s="13"/>
      <c r="U4" t="s">
        <v>23</v>
      </c>
    </row>
    <row r="5" spans="1:21" x14ac:dyDescent="0.55000000000000004">
      <c r="B5" s="2">
        <v>1</v>
      </c>
      <c r="C5" s="2" t="s">
        <v>14</v>
      </c>
      <c r="D5">
        <v>1</v>
      </c>
      <c r="E5">
        <v>220</v>
      </c>
      <c r="F5">
        <v>0</v>
      </c>
      <c r="G5" s="3">
        <v>1</v>
      </c>
      <c r="H5" s="3">
        <v>0.1</v>
      </c>
      <c r="I5" s="3">
        <v>1</v>
      </c>
      <c r="J5" t="s">
        <v>21</v>
      </c>
      <c r="L5" t="s">
        <v>52</v>
      </c>
      <c r="N5" s="1" cm="1">
        <f t="array" aca="1" ref="N5:N10" ca="1">_xlfn.SORTBY(_xlfn.SEQUENCE(6),_xlfn.RANDARRAY(6))</f>
        <v>1</v>
      </c>
      <c r="P5" t="s">
        <v>8</v>
      </c>
      <c r="Q5" t="s">
        <v>15</v>
      </c>
      <c r="R5" t="s">
        <v>13</v>
      </c>
      <c r="S5" t="s">
        <v>14</v>
      </c>
      <c r="T5" t="s">
        <v>16</v>
      </c>
    </row>
    <row r="6" spans="1:21" x14ac:dyDescent="0.55000000000000004">
      <c r="B6" s="2">
        <v>1</v>
      </c>
      <c r="C6" s="2" t="s">
        <v>14</v>
      </c>
      <c r="D6">
        <v>2</v>
      </c>
      <c r="E6">
        <v>220</v>
      </c>
      <c r="F6">
        <v>0</v>
      </c>
      <c r="G6" s="3">
        <v>1</v>
      </c>
      <c r="H6" s="3">
        <v>0.2</v>
      </c>
      <c r="I6" s="3">
        <v>1</v>
      </c>
      <c r="J6" t="s">
        <v>51</v>
      </c>
      <c r="L6" t="s">
        <v>24</v>
      </c>
      <c r="N6" s="1">
        <f ca="1"/>
        <v>2</v>
      </c>
      <c r="O6" t="s">
        <v>9</v>
      </c>
      <c r="P6" s="5">
        <v>240</v>
      </c>
      <c r="Q6" s="5">
        <v>0</v>
      </c>
      <c r="R6" s="3">
        <v>0.2</v>
      </c>
      <c r="S6" s="3">
        <v>0.2</v>
      </c>
      <c r="T6" s="8">
        <v>1.5</v>
      </c>
    </row>
    <row r="7" spans="1:21" x14ac:dyDescent="0.55000000000000004">
      <c r="B7" s="2">
        <v>1</v>
      </c>
      <c r="C7" s="2" t="s">
        <v>14</v>
      </c>
      <c r="D7">
        <v>3</v>
      </c>
      <c r="E7">
        <v>220</v>
      </c>
      <c r="F7">
        <v>0</v>
      </c>
      <c r="G7" s="3">
        <v>1</v>
      </c>
      <c r="H7" s="3">
        <v>0.4</v>
      </c>
      <c r="I7" s="3">
        <v>1</v>
      </c>
      <c r="J7" t="s">
        <v>21</v>
      </c>
      <c r="L7" t="s">
        <v>24</v>
      </c>
      <c r="N7" s="1">
        <f ca="1"/>
        <v>6</v>
      </c>
      <c r="O7" t="s">
        <v>10</v>
      </c>
      <c r="P7">
        <v>280</v>
      </c>
      <c r="Q7">
        <v>2</v>
      </c>
      <c r="R7" s="6">
        <v>0.7</v>
      </c>
      <c r="S7" s="6">
        <v>0.3</v>
      </c>
      <c r="T7" s="4">
        <v>2</v>
      </c>
    </row>
    <row r="8" spans="1:21" x14ac:dyDescent="0.55000000000000004">
      <c r="B8" s="2">
        <v>1</v>
      </c>
      <c r="C8" s="2" t="s">
        <v>14</v>
      </c>
      <c r="D8">
        <v>4</v>
      </c>
      <c r="E8">
        <v>220</v>
      </c>
      <c r="F8">
        <v>0</v>
      </c>
      <c r="G8" s="3">
        <v>1</v>
      </c>
      <c r="H8" s="3">
        <v>0.5</v>
      </c>
      <c r="I8" s="3">
        <v>1</v>
      </c>
      <c r="J8" t="s">
        <v>21</v>
      </c>
      <c r="L8" t="s">
        <v>24</v>
      </c>
      <c r="N8" s="1">
        <f ca="1"/>
        <v>4</v>
      </c>
    </row>
    <row r="9" spans="1:21" x14ac:dyDescent="0.55000000000000004">
      <c r="B9" s="2">
        <v>1</v>
      </c>
      <c r="C9" s="2" t="s">
        <v>14</v>
      </c>
      <c r="D9">
        <v>5</v>
      </c>
      <c r="E9">
        <v>220</v>
      </c>
      <c r="F9">
        <v>0</v>
      </c>
      <c r="G9" s="3">
        <v>1</v>
      </c>
      <c r="H9" s="3">
        <v>0.3</v>
      </c>
      <c r="I9" s="3">
        <v>1</v>
      </c>
      <c r="J9" t="s">
        <v>21</v>
      </c>
      <c r="L9" t="s">
        <v>24</v>
      </c>
      <c r="M9" t="s">
        <v>24</v>
      </c>
      <c r="N9" s="1">
        <f ca="1"/>
        <v>3</v>
      </c>
    </row>
    <row r="10" spans="1:21" x14ac:dyDescent="0.55000000000000004">
      <c r="B10" s="2">
        <v>1</v>
      </c>
      <c r="C10" s="2" t="s">
        <v>14</v>
      </c>
      <c r="D10">
        <v>6</v>
      </c>
      <c r="E10">
        <v>220</v>
      </c>
      <c r="F10">
        <v>0</v>
      </c>
      <c r="G10" s="3">
        <v>1</v>
      </c>
      <c r="H10" s="3">
        <v>0</v>
      </c>
      <c r="I10" s="3">
        <v>1</v>
      </c>
      <c r="J10" t="s">
        <v>51</v>
      </c>
      <c r="K10" s="9" t="s">
        <v>34</v>
      </c>
      <c r="L10" t="s">
        <v>24</v>
      </c>
      <c r="N10" s="1">
        <f ca="1"/>
        <v>5</v>
      </c>
    </row>
    <row r="11" spans="1:21" x14ac:dyDescent="0.55000000000000004">
      <c r="B11" s="2">
        <v>2</v>
      </c>
      <c r="C11" s="2" t="s">
        <v>14</v>
      </c>
      <c r="D11">
        <v>1</v>
      </c>
      <c r="E11">
        <v>230</v>
      </c>
      <c r="F11">
        <v>0</v>
      </c>
      <c r="G11" s="3">
        <v>0.9</v>
      </c>
      <c r="H11" s="3">
        <v>0.42</v>
      </c>
      <c r="I11" s="3">
        <v>1.1000000000000001</v>
      </c>
      <c r="J11" t="s">
        <v>21</v>
      </c>
      <c r="L11" t="s">
        <v>54</v>
      </c>
    </row>
    <row r="12" spans="1:21" x14ac:dyDescent="0.55000000000000004">
      <c r="B12" s="2">
        <v>2</v>
      </c>
      <c r="C12" s="2" t="s">
        <v>14</v>
      </c>
      <c r="D12">
        <v>2</v>
      </c>
      <c r="E12">
        <v>230</v>
      </c>
      <c r="F12">
        <v>0</v>
      </c>
      <c r="G12" s="3">
        <v>0.9</v>
      </c>
      <c r="H12" s="3">
        <v>0.18</v>
      </c>
      <c r="I12" s="3">
        <v>1.1000000000000001</v>
      </c>
      <c r="J12" t="s">
        <v>51</v>
      </c>
      <c r="K12" s="9" t="s">
        <v>53</v>
      </c>
      <c r="L12" t="s">
        <v>55</v>
      </c>
    </row>
    <row r="13" spans="1:21" x14ac:dyDescent="0.55000000000000004">
      <c r="B13" s="2">
        <v>2</v>
      </c>
      <c r="C13" s="2" t="s">
        <v>14</v>
      </c>
      <c r="D13">
        <v>3</v>
      </c>
      <c r="E13">
        <v>230</v>
      </c>
      <c r="F13">
        <v>0</v>
      </c>
      <c r="G13" s="3">
        <v>0.9</v>
      </c>
      <c r="H13" s="3">
        <v>0.5</v>
      </c>
      <c r="I13" s="3">
        <v>1.1000000000000001</v>
      </c>
      <c r="J13" t="s">
        <v>21</v>
      </c>
      <c r="L13" t="s">
        <v>24</v>
      </c>
    </row>
    <row r="14" spans="1:21" x14ac:dyDescent="0.55000000000000004">
      <c r="B14" s="2">
        <v>2</v>
      </c>
      <c r="C14" s="2" t="s">
        <v>14</v>
      </c>
      <c r="D14">
        <v>4</v>
      </c>
      <c r="E14">
        <v>230</v>
      </c>
      <c r="F14">
        <v>0</v>
      </c>
      <c r="G14" s="3">
        <v>0.9</v>
      </c>
      <c r="H14" s="3">
        <v>0.26</v>
      </c>
      <c r="I14" s="3">
        <v>1.1000000000000001</v>
      </c>
      <c r="J14" t="s">
        <v>21</v>
      </c>
      <c r="L14" t="s">
        <v>24</v>
      </c>
    </row>
    <row r="15" spans="1:21" x14ac:dyDescent="0.55000000000000004">
      <c r="B15" s="2">
        <v>2</v>
      </c>
      <c r="C15" s="2" t="s">
        <v>14</v>
      </c>
      <c r="D15">
        <v>5</v>
      </c>
      <c r="E15">
        <v>230</v>
      </c>
      <c r="F15">
        <v>0</v>
      </c>
      <c r="G15" s="3">
        <v>0.9</v>
      </c>
      <c r="H15" s="3">
        <v>0.1</v>
      </c>
      <c r="I15" s="3">
        <v>1.1000000000000001</v>
      </c>
      <c r="J15" t="s">
        <v>51</v>
      </c>
      <c r="K15" s="9" t="s">
        <v>53</v>
      </c>
      <c r="L15" t="s">
        <v>24</v>
      </c>
    </row>
    <row r="16" spans="1:21" x14ac:dyDescent="0.55000000000000004">
      <c r="B16" s="2">
        <v>2</v>
      </c>
      <c r="C16" s="2" t="s">
        <v>14</v>
      </c>
      <c r="D16">
        <v>6</v>
      </c>
      <c r="E16">
        <v>230</v>
      </c>
      <c r="F16">
        <v>0</v>
      </c>
      <c r="G16" s="3">
        <v>0.9</v>
      </c>
      <c r="H16" s="3">
        <v>0.34</v>
      </c>
      <c r="I16" s="3">
        <v>1.1000000000000001</v>
      </c>
      <c r="J16" t="s">
        <v>21</v>
      </c>
      <c r="L16" t="s">
        <v>24</v>
      </c>
    </row>
    <row r="17" spans="2:12" x14ac:dyDescent="0.55000000000000004">
      <c r="B17" s="2">
        <v>3</v>
      </c>
      <c r="C17" s="2" t="s">
        <v>14</v>
      </c>
      <c r="D17">
        <v>1</v>
      </c>
      <c r="E17">
        <v>240</v>
      </c>
      <c r="F17">
        <v>0</v>
      </c>
      <c r="G17" s="3">
        <v>0.8</v>
      </c>
      <c r="H17" s="3">
        <v>0.26</v>
      </c>
      <c r="I17" s="3">
        <v>1.3</v>
      </c>
      <c r="J17" t="s">
        <v>51</v>
      </c>
      <c r="L17" t="s">
        <v>56</v>
      </c>
    </row>
    <row r="18" spans="2:12" x14ac:dyDescent="0.55000000000000004">
      <c r="B18" s="2">
        <v>3</v>
      </c>
      <c r="C18" s="2" t="s">
        <v>14</v>
      </c>
      <c r="D18">
        <v>2</v>
      </c>
      <c r="E18">
        <v>240</v>
      </c>
      <c r="F18">
        <v>0</v>
      </c>
      <c r="G18" s="3">
        <v>0.8</v>
      </c>
      <c r="H18" s="3">
        <v>0.32</v>
      </c>
      <c r="I18" s="3">
        <v>1.3</v>
      </c>
      <c r="J18" t="s">
        <v>21</v>
      </c>
      <c r="K18" t="s">
        <v>57</v>
      </c>
      <c r="L18" t="s">
        <v>58</v>
      </c>
    </row>
    <row r="19" spans="2:12" x14ac:dyDescent="0.55000000000000004">
      <c r="B19" s="2">
        <v>3</v>
      </c>
      <c r="C19" s="2" t="s">
        <v>14</v>
      </c>
      <c r="D19">
        <v>3</v>
      </c>
      <c r="E19">
        <v>240</v>
      </c>
      <c r="F19">
        <v>0</v>
      </c>
      <c r="G19" s="3">
        <v>0.8</v>
      </c>
      <c r="H19" s="3">
        <v>0.38</v>
      </c>
      <c r="I19" s="3">
        <v>1.3</v>
      </c>
      <c r="J19" t="s">
        <v>21</v>
      </c>
    </row>
    <row r="20" spans="2:12" x14ac:dyDescent="0.55000000000000004">
      <c r="B20" s="2">
        <v>3</v>
      </c>
      <c r="C20" s="2" t="s">
        <v>14</v>
      </c>
      <c r="D20">
        <v>4</v>
      </c>
      <c r="E20">
        <v>240</v>
      </c>
      <c r="F20">
        <v>0</v>
      </c>
      <c r="G20" s="3">
        <v>0.8</v>
      </c>
      <c r="H20" s="3">
        <v>0.2</v>
      </c>
      <c r="I20" s="3">
        <v>1.3</v>
      </c>
      <c r="J20" t="s">
        <v>51</v>
      </c>
    </row>
    <row r="21" spans="2:12" x14ac:dyDescent="0.55000000000000004">
      <c r="B21" s="2">
        <v>3</v>
      </c>
      <c r="C21" s="2" t="s">
        <v>14</v>
      </c>
      <c r="D21">
        <v>5</v>
      </c>
      <c r="E21">
        <v>240</v>
      </c>
      <c r="F21">
        <v>0</v>
      </c>
      <c r="G21" s="3">
        <v>0.8</v>
      </c>
      <c r="H21" s="3">
        <v>0.44</v>
      </c>
      <c r="I21" s="3">
        <v>1.3</v>
      </c>
      <c r="J21" t="s">
        <v>21</v>
      </c>
    </row>
    <row r="22" spans="2:12" x14ac:dyDescent="0.55000000000000004">
      <c r="B22" s="2">
        <v>3</v>
      </c>
      <c r="C22" s="2" t="s">
        <v>14</v>
      </c>
      <c r="D22">
        <v>6</v>
      </c>
      <c r="E22">
        <v>240</v>
      </c>
      <c r="F22">
        <v>0</v>
      </c>
      <c r="G22" s="3">
        <v>0.8</v>
      </c>
      <c r="H22" s="3">
        <v>0.5</v>
      </c>
      <c r="I22" s="3">
        <v>1.3</v>
      </c>
      <c r="J22" t="s">
        <v>21</v>
      </c>
    </row>
    <row r="23" spans="2:12" x14ac:dyDescent="0.55000000000000004">
      <c r="B23" s="2">
        <v>4</v>
      </c>
      <c r="C23" s="2" t="s">
        <v>14</v>
      </c>
      <c r="D23">
        <v>1</v>
      </c>
      <c r="E23">
        <v>240</v>
      </c>
      <c r="F23">
        <v>0</v>
      </c>
      <c r="G23" s="3">
        <v>0.7</v>
      </c>
      <c r="H23" s="3">
        <v>0.38</v>
      </c>
      <c r="I23" s="3">
        <v>1.5</v>
      </c>
      <c r="J23" t="s">
        <v>21</v>
      </c>
      <c r="L23" t="s">
        <v>56</v>
      </c>
    </row>
    <row r="24" spans="2:12" x14ac:dyDescent="0.55000000000000004">
      <c r="B24" s="2">
        <v>4</v>
      </c>
      <c r="C24" s="2" t="s">
        <v>14</v>
      </c>
      <c r="D24">
        <v>2</v>
      </c>
      <c r="E24">
        <v>240</v>
      </c>
      <c r="F24">
        <v>0</v>
      </c>
      <c r="G24" s="3">
        <v>0.7</v>
      </c>
      <c r="H24" s="3">
        <v>0.32</v>
      </c>
      <c r="I24" s="3">
        <v>1.5</v>
      </c>
      <c r="J24" t="s">
        <v>17</v>
      </c>
      <c r="L24" t="s">
        <v>60</v>
      </c>
    </row>
    <row r="25" spans="2:12" x14ac:dyDescent="0.55000000000000004">
      <c r="B25" s="2">
        <v>4</v>
      </c>
      <c r="C25" s="2" t="s">
        <v>14</v>
      </c>
      <c r="D25">
        <v>3</v>
      </c>
      <c r="E25">
        <v>240</v>
      </c>
      <c r="F25">
        <v>0</v>
      </c>
      <c r="G25" s="3">
        <v>0.7</v>
      </c>
      <c r="H25" s="3">
        <v>0.44</v>
      </c>
      <c r="I25" s="3">
        <v>1.5</v>
      </c>
      <c r="J25" t="s">
        <v>21</v>
      </c>
    </row>
    <row r="26" spans="2:12" x14ac:dyDescent="0.55000000000000004">
      <c r="B26" s="2">
        <v>4</v>
      </c>
      <c r="C26" s="2" t="s">
        <v>14</v>
      </c>
      <c r="D26">
        <v>4</v>
      </c>
      <c r="E26">
        <v>240</v>
      </c>
      <c r="F26">
        <v>0</v>
      </c>
      <c r="G26" s="3">
        <v>0.7</v>
      </c>
      <c r="H26" s="3">
        <v>0.5</v>
      </c>
      <c r="I26" s="3">
        <v>1.5</v>
      </c>
      <c r="J26" t="s">
        <v>21</v>
      </c>
    </row>
    <row r="27" spans="2:12" x14ac:dyDescent="0.55000000000000004">
      <c r="B27" s="2">
        <v>4</v>
      </c>
      <c r="C27" s="2" t="s">
        <v>14</v>
      </c>
      <c r="D27">
        <v>5</v>
      </c>
      <c r="E27">
        <v>240</v>
      </c>
      <c r="F27">
        <v>0</v>
      </c>
      <c r="G27" s="3">
        <v>0.7</v>
      </c>
      <c r="H27" s="3">
        <v>0.2</v>
      </c>
      <c r="I27" s="3">
        <v>1.5</v>
      </c>
      <c r="J27" t="s">
        <v>17</v>
      </c>
    </row>
    <row r="28" spans="2:12" x14ac:dyDescent="0.55000000000000004">
      <c r="B28" s="2">
        <v>4</v>
      </c>
      <c r="C28" s="2" t="s">
        <v>14</v>
      </c>
      <c r="D28">
        <v>6</v>
      </c>
      <c r="E28">
        <v>240</v>
      </c>
      <c r="F28">
        <v>0</v>
      </c>
      <c r="G28" s="3">
        <v>0.7</v>
      </c>
      <c r="H28" s="3">
        <v>0.26</v>
      </c>
      <c r="I28" s="3">
        <v>1.5</v>
      </c>
      <c r="J28" t="s">
        <v>17</v>
      </c>
    </row>
    <row r="29" spans="2:12" x14ac:dyDescent="0.55000000000000004">
      <c r="B29" s="2">
        <v>5</v>
      </c>
      <c r="C29" s="2" t="s">
        <v>59</v>
      </c>
      <c r="D29">
        <v>1</v>
      </c>
      <c r="E29">
        <v>240</v>
      </c>
      <c r="F29">
        <v>0</v>
      </c>
      <c r="G29" s="3">
        <v>0.7</v>
      </c>
      <c r="H29" s="3">
        <v>0.3</v>
      </c>
      <c r="I29" s="3">
        <v>1.5</v>
      </c>
      <c r="J29" t="s">
        <v>17</v>
      </c>
      <c r="L29" t="s">
        <v>61</v>
      </c>
    </row>
    <row r="30" spans="2:12" x14ac:dyDescent="0.55000000000000004">
      <c r="B30" s="2">
        <v>5</v>
      </c>
      <c r="C30" s="2" t="s">
        <v>59</v>
      </c>
      <c r="D30">
        <v>2</v>
      </c>
      <c r="E30">
        <v>240</v>
      </c>
      <c r="F30">
        <v>0</v>
      </c>
      <c r="G30" s="3">
        <v>0.7</v>
      </c>
      <c r="H30" s="3">
        <v>0.3</v>
      </c>
      <c r="I30" s="3">
        <v>1.5</v>
      </c>
      <c r="J30" t="s">
        <v>17</v>
      </c>
      <c r="L30" t="s">
        <v>62</v>
      </c>
    </row>
    <row r="31" spans="2:12" x14ac:dyDescent="0.55000000000000004">
      <c r="B31" s="2">
        <v>5</v>
      </c>
      <c r="C31" s="2" t="s">
        <v>59</v>
      </c>
      <c r="D31">
        <v>3</v>
      </c>
      <c r="E31">
        <v>240</v>
      </c>
      <c r="F31">
        <v>0</v>
      </c>
      <c r="G31" s="3">
        <v>0.7</v>
      </c>
      <c r="H31" s="3">
        <v>0.3</v>
      </c>
      <c r="I31" s="3">
        <v>1.5</v>
      </c>
      <c r="J31" t="s">
        <v>17</v>
      </c>
      <c r="L31" t="s">
        <v>67</v>
      </c>
    </row>
    <row r="32" spans="2:12" x14ac:dyDescent="0.55000000000000004">
      <c r="B32" s="2">
        <v>5</v>
      </c>
      <c r="C32" s="2" t="s">
        <v>59</v>
      </c>
      <c r="D32">
        <v>4</v>
      </c>
      <c r="E32">
        <v>240</v>
      </c>
      <c r="F32">
        <v>0</v>
      </c>
      <c r="G32" s="3">
        <v>0.7</v>
      </c>
      <c r="H32" s="3">
        <v>0.3</v>
      </c>
      <c r="I32" s="3">
        <v>1.5</v>
      </c>
      <c r="J32" t="s">
        <v>17</v>
      </c>
    </row>
    <row r="33" spans="2:10" x14ac:dyDescent="0.55000000000000004">
      <c r="B33" s="2">
        <v>5</v>
      </c>
      <c r="C33" s="2" t="s">
        <v>59</v>
      </c>
      <c r="D33">
        <v>5</v>
      </c>
      <c r="E33">
        <v>240</v>
      </c>
      <c r="F33">
        <v>0</v>
      </c>
      <c r="G33" s="3">
        <v>0.7</v>
      </c>
      <c r="H33" s="3">
        <v>0.3</v>
      </c>
      <c r="I33" s="3">
        <v>1.5</v>
      </c>
      <c r="J33" t="s">
        <v>17</v>
      </c>
    </row>
    <row r="34" spans="2:10" x14ac:dyDescent="0.55000000000000004">
      <c r="B34" s="2">
        <v>5</v>
      </c>
      <c r="C34" s="2" t="s">
        <v>59</v>
      </c>
      <c r="D34">
        <v>6</v>
      </c>
      <c r="E34">
        <v>240</v>
      </c>
      <c r="F34">
        <v>0</v>
      </c>
      <c r="G34" s="3">
        <v>0.7</v>
      </c>
      <c r="H34" s="3">
        <v>0.3</v>
      </c>
      <c r="I34" s="3">
        <v>1.5</v>
      </c>
      <c r="J34" t="s">
        <v>17</v>
      </c>
    </row>
  </sheetData>
  <mergeCells count="4">
    <mergeCell ref="P4:T4"/>
    <mergeCell ref="B1:L1"/>
    <mergeCell ref="B2:L2"/>
    <mergeCell ref="B3:L3"/>
  </mergeCells>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423B3-B449-47D8-BD6B-458BD3F2D6C3}">
  <dimension ref="A1:R21"/>
  <sheetViews>
    <sheetView workbookViewId="0">
      <selection activeCell="M14" sqref="M14"/>
    </sheetView>
  </sheetViews>
  <sheetFormatPr defaultRowHeight="14.4" x14ac:dyDescent="0.55000000000000004"/>
  <cols>
    <col min="1" max="1" width="16.7890625" bestFit="1" customWidth="1"/>
    <col min="2" max="2" width="6.3671875" bestFit="1" customWidth="1"/>
    <col min="3" max="3" width="9.7890625" bestFit="1" customWidth="1"/>
    <col min="4" max="4" width="17.68359375" bestFit="1" customWidth="1"/>
    <col min="5" max="5" width="8.89453125" bestFit="1" customWidth="1"/>
    <col min="6" max="6" width="15.3125" bestFit="1" customWidth="1"/>
    <col min="7" max="7" width="9.68359375" bestFit="1" customWidth="1"/>
    <col min="8" max="8" width="15.47265625" bestFit="1" customWidth="1"/>
    <col min="9" max="9" width="22.9453125" bestFit="1" customWidth="1"/>
    <col min="10" max="10" width="8.1015625" bestFit="1" customWidth="1"/>
    <col min="11" max="11" width="15.83984375" bestFit="1" customWidth="1"/>
  </cols>
  <sheetData>
    <row r="1" spans="1:18" x14ac:dyDescent="0.55000000000000004">
      <c r="A1" t="s">
        <v>41</v>
      </c>
      <c r="B1" s="14" t="s">
        <v>64</v>
      </c>
      <c r="C1" s="14"/>
      <c r="D1" s="14"/>
      <c r="E1" s="14"/>
      <c r="F1" s="14"/>
      <c r="G1" s="14"/>
      <c r="H1" s="14"/>
      <c r="I1" s="14"/>
      <c r="J1" s="14"/>
      <c r="K1" s="14"/>
    </row>
    <row r="2" spans="1:18" x14ac:dyDescent="0.55000000000000004">
      <c r="A2" t="s">
        <v>46</v>
      </c>
      <c r="B2" s="14" t="s">
        <v>63</v>
      </c>
      <c r="C2" s="14"/>
      <c r="D2" s="14"/>
      <c r="E2" s="14"/>
      <c r="F2" s="14"/>
      <c r="G2" s="14"/>
      <c r="H2" s="14"/>
      <c r="I2" s="14"/>
      <c r="J2" s="14"/>
      <c r="K2" s="14"/>
      <c r="N2" s="13" t="s">
        <v>47</v>
      </c>
      <c r="O2" s="13"/>
      <c r="P2" s="13"/>
      <c r="Q2" s="13"/>
      <c r="R2" s="13"/>
    </row>
    <row r="3" spans="1:18" x14ac:dyDescent="0.55000000000000004">
      <c r="B3" s="14"/>
      <c r="C3" s="14"/>
      <c r="D3" s="14"/>
      <c r="E3" s="14"/>
      <c r="F3" s="14"/>
      <c r="G3" s="14"/>
      <c r="H3" s="14"/>
      <c r="I3" s="14"/>
      <c r="J3" s="14"/>
      <c r="K3" s="14"/>
      <c r="N3" t="s">
        <v>8</v>
      </c>
      <c r="O3" t="s">
        <v>15</v>
      </c>
      <c r="P3" t="s">
        <v>13</v>
      </c>
      <c r="Q3" t="s">
        <v>14</v>
      </c>
      <c r="R3" t="s">
        <v>16</v>
      </c>
    </row>
    <row r="4" spans="1:18" x14ac:dyDescent="0.55000000000000004">
      <c r="B4" t="s">
        <v>0</v>
      </c>
      <c r="C4" t="s">
        <v>2</v>
      </c>
      <c r="D4" t="s">
        <v>66</v>
      </c>
      <c r="E4" t="s">
        <v>15</v>
      </c>
      <c r="F4" t="s">
        <v>49</v>
      </c>
      <c r="G4" t="s">
        <v>14</v>
      </c>
      <c r="H4" t="s">
        <v>37</v>
      </c>
      <c r="I4" t="s">
        <v>65</v>
      </c>
      <c r="J4" t="s">
        <v>4</v>
      </c>
      <c r="K4" t="s">
        <v>25</v>
      </c>
      <c r="M4" t="s">
        <v>9</v>
      </c>
      <c r="N4">
        <v>240</v>
      </c>
      <c r="O4">
        <v>0</v>
      </c>
      <c r="P4" s="3">
        <v>0.2</v>
      </c>
      <c r="Q4" s="3">
        <v>0.2</v>
      </c>
      <c r="R4" s="10">
        <v>1.5</v>
      </c>
    </row>
    <row r="5" spans="1:18" x14ac:dyDescent="0.55000000000000004">
      <c r="B5" s="2">
        <v>1</v>
      </c>
      <c r="C5">
        <v>1</v>
      </c>
      <c r="D5">
        <v>260</v>
      </c>
      <c r="E5">
        <v>1</v>
      </c>
      <c r="F5" s="3">
        <v>0.45</v>
      </c>
      <c r="G5" s="3">
        <v>0.25</v>
      </c>
      <c r="H5" s="3">
        <v>1.75</v>
      </c>
      <c r="M5" t="s">
        <v>10</v>
      </c>
      <c r="N5">
        <v>280</v>
      </c>
      <c r="O5">
        <v>2</v>
      </c>
      <c r="P5" s="3">
        <v>0.7</v>
      </c>
      <c r="Q5" s="3">
        <v>0.3</v>
      </c>
      <c r="R5" s="10">
        <v>2</v>
      </c>
    </row>
    <row r="6" spans="1:18" x14ac:dyDescent="0.55000000000000004">
      <c r="B6" s="2">
        <v>1</v>
      </c>
      <c r="C6">
        <v>2</v>
      </c>
      <c r="D6">
        <v>260</v>
      </c>
      <c r="E6">
        <v>1</v>
      </c>
      <c r="F6" s="3">
        <v>0.45</v>
      </c>
      <c r="G6" s="3">
        <v>0.25</v>
      </c>
      <c r="H6" s="3">
        <v>1.75</v>
      </c>
      <c r="M6" t="s">
        <v>11</v>
      </c>
      <c r="N6" s="11">
        <f>(N5+N4)/2</f>
        <v>260</v>
      </c>
      <c r="O6" s="11">
        <f>_xlfn.FLOOR.MATH((O5+O4)/2)</f>
        <v>1</v>
      </c>
      <c r="P6" s="11">
        <f t="shared" ref="P6:R6" si="0">(P5+P4)/2</f>
        <v>0.44999999999999996</v>
      </c>
      <c r="Q6" s="11">
        <f t="shared" si="0"/>
        <v>0.25</v>
      </c>
      <c r="R6" s="12">
        <f t="shared" si="0"/>
        <v>1.75</v>
      </c>
    </row>
    <row r="7" spans="1:18" x14ac:dyDescent="0.55000000000000004">
      <c r="B7" s="2">
        <v>1</v>
      </c>
      <c r="C7">
        <v>3</v>
      </c>
      <c r="D7">
        <v>260</v>
      </c>
      <c r="E7">
        <v>1</v>
      </c>
      <c r="F7" s="3">
        <v>0.45</v>
      </c>
      <c r="G7" s="3">
        <v>0.25</v>
      </c>
      <c r="H7" s="3">
        <v>1.75</v>
      </c>
    </row>
    <row r="8" spans="1:18" x14ac:dyDescent="0.55000000000000004">
      <c r="B8" s="2">
        <v>1</v>
      </c>
      <c r="C8">
        <v>4</v>
      </c>
      <c r="D8">
        <v>260</v>
      </c>
      <c r="E8">
        <v>1</v>
      </c>
      <c r="F8" s="3">
        <v>0.45</v>
      </c>
      <c r="G8" s="3">
        <v>0.25</v>
      </c>
      <c r="H8" s="3">
        <v>1.75</v>
      </c>
    </row>
    <row r="9" spans="1:18" x14ac:dyDescent="0.55000000000000004">
      <c r="B9" s="2">
        <v>1</v>
      </c>
      <c r="C9">
        <v>5</v>
      </c>
      <c r="D9">
        <v>260</v>
      </c>
      <c r="E9">
        <v>1</v>
      </c>
      <c r="F9" s="3">
        <v>0.45</v>
      </c>
      <c r="G9" s="3">
        <v>0.25</v>
      </c>
      <c r="H9" s="3">
        <v>1.75</v>
      </c>
    </row>
    <row r="10" spans="1:18" x14ac:dyDescent="0.55000000000000004">
      <c r="B10" s="2">
        <v>1</v>
      </c>
      <c r="C10">
        <v>6</v>
      </c>
      <c r="D10">
        <v>260</v>
      </c>
      <c r="E10">
        <v>1</v>
      </c>
      <c r="F10" s="3">
        <v>0.45</v>
      </c>
      <c r="G10" s="3">
        <v>0.25</v>
      </c>
      <c r="H10" s="3">
        <v>1.75</v>
      </c>
    </row>
    <row r="21" spans="2:2" x14ac:dyDescent="0.55000000000000004">
      <c r="B21" t="s">
        <v>24</v>
      </c>
    </row>
  </sheetData>
  <mergeCells count="4">
    <mergeCell ref="N2:R2"/>
    <mergeCell ref="B1:K1"/>
    <mergeCell ref="B2:K2"/>
    <mergeCell ref="B3:K3"/>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Initial Testing</vt:lpstr>
      <vt:lpstr>Final Testing</vt:lpstr>
      <vt:lpstr>Variance Testing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Timothy Carr (RIT Alumni)</dc:creator>
  <cp:lastModifiedBy>Timothy Carr (RIT Alumni)</cp:lastModifiedBy>
  <dcterms:created xsi:type="dcterms:W3CDTF">2026-09-18T14:39:36Z</dcterms:created>
  <dcterms:modified xsi:type="dcterms:W3CDTF">2026-10-05T14:58:59Z</dcterms:modified>
</cp:coreProperties>
</file>